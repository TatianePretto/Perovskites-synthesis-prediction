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249341fe94f445/Área de Trabalho/Doutorado/Escrita artigo ML/Planilhas/"/>
    </mc:Choice>
  </mc:AlternateContent>
  <xr:revisionPtr revIDLastSave="7" documentId="8_{437D060F-F171-4F2C-A2E0-3E45686A9F73}" xr6:coauthVersionLast="47" xr6:coauthVersionMax="47" xr10:uidLastSave="{A08319C6-0FD3-40A2-87CD-0F50E544465B}"/>
  <bookViews>
    <workbookView xWindow="-108" yWindow="-108" windowWidth="23256" windowHeight="12456" xr2:uid="{6BB500B7-6EB0-4866-84A6-AF9B5B30D372}"/>
  </bookViews>
  <sheets>
    <sheet name="Original database" sheetId="2" r:id="rId1"/>
    <sheet name="Final datab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4" i="2" l="1"/>
  <c r="Y164" i="2"/>
  <c r="X164" i="2"/>
  <c r="E164" i="2"/>
  <c r="D164" i="2"/>
  <c r="AA163" i="2"/>
  <c r="Y163" i="2"/>
  <c r="X163" i="2"/>
  <c r="E163" i="2"/>
  <c r="D163" i="2"/>
  <c r="AA162" i="2"/>
  <c r="Y162" i="2"/>
  <c r="X162" i="2"/>
  <c r="E162" i="2"/>
  <c r="D162" i="2"/>
  <c r="X161" i="2"/>
  <c r="E161" i="2"/>
  <c r="D161" i="2"/>
  <c r="AA160" i="2"/>
  <c r="X160" i="2"/>
  <c r="E160" i="2"/>
  <c r="D160" i="2"/>
  <c r="X159" i="2"/>
  <c r="E159" i="2"/>
  <c r="D159" i="2"/>
  <c r="X158" i="2"/>
  <c r="E158" i="2"/>
  <c r="D158" i="2"/>
  <c r="X157" i="2"/>
  <c r="E157" i="2"/>
  <c r="D157" i="2"/>
  <c r="AA156" i="2"/>
  <c r="X156" i="2"/>
  <c r="E156" i="2"/>
  <c r="D156" i="2"/>
  <c r="AA155" i="2"/>
  <c r="X155" i="2"/>
  <c r="E155" i="2"/>
  <c r="D155" i="2"/>
  <c r="AA154" i="2"/>
  <c r="X154" i="2"/>
  <c r="E154" i="2"/>
  <c r="D154" i="2"/>
  <c r="X153" i="2"/>
  <c r="E153" i="2"/>
  <c r="D153" i="2"/>
  <c r="X152" i="2"/>
  <c r="E152" i="2"/>
  <c r="D152" i="2"/>
  <c r="X151" i="2"/>
  <c r="E151" i="2"/>
  <c r="D151" i="2"/>
  <c r="X150" i="2"/>
  <c r="E150" i="2"/>
  <c r="D150" i="2"/>
  <c r="X149" i="2"/>
  <c r="E149" i="2"/>
  <c r="D149" i="2"/>
  <c r="AA148" i="2"/>
  <c r="X148" i="2"/>
  <c r="E148" i="2"/>
  <c r="D148" i="2"/>
  <c r="AA147" i="2"/>
  <c r="X147" i="2"/>
  <c r="E147" i="2"/>
  <c r="D147" i="2"/>
  <c r="AA146" i="2"/>
  <c r="X146" i="2"/>
  <c r="E146" i="2"/>
  <c r="D146" i="2"/>
  <c r="AA145" i="2"/>
  <c r="X145" i="2"/>
  <c r="E145" i="2"/>
  <c r="D145" i="2"/>
  <c r="AA144" i="2"/>
  <c r="X144" i="2"/>
  <c r="E144" i="2"/>
  <c r="D144" i="2"/>
  <c r="X143" i="2"/>
  <c r="E143" i="2"/>
  <c r="D143" i="2"/>
  <c r="X142" i="2"/>
  <c r="E142" i="2"/>
  <c r="D142" i="2"/>
  <c r="X141" i="2"/>
  <c r="E141" i="2"/>
  <c r="D141" i="2"/>
  <c r="AA140" i="2"/>
  <c r="X140" i="2"/>
  <c r="E140" i="2"/>
  <c r="D140" i="2"/>
  <c r="AA139" i="2"/>
  <c r="X139" i="2"/>
  <c r="E139" i="2"/>
  <c r="D139" i="2"/>
  <c r="AA138" i="2"/>
  <c r="X138" i="2"/>
  <c r="E138" i="2"/>
  <c r="D138" i="2"/>
  <c r="AA137" i="2"/>
  <c r="X137" i="2"/>
  <c r="E137" i="2"/>
  <c r="D137" i="2"/>
  <c r="X136" i="2"/>
  <c r="E136" i="2"/>
  <c r="D136" i="2"/>
  <c r="AA135" i="2"/>
  <c r="X135" i="2"/>
  <c r="E135" i="2"/>
  <c r="D135" i="2"/>
  <c r="AA134" i="2"/>
  <c r="X134" i="2"/>
  <c r="E134" i="2"/>
  <c r="D134" i="2"/>
  <c r="AA133" i="2"/>
  <c r="X133" i="2"/>
  <c r="E133" i="2"/>
  <c r="D133" i="2"/>
  <c r="AA132" i="2"/>
  <c r="X132" i="2"/>
  <c r="E132" i="2"/>
  <c r="D132" i="2"/>
  <c r="AA131" i="2"/>
  <c r="X131" i="2"/>
  <c r="E131" i="2"/>
  <c r="D131" i="2"/>
  <c r="AA130" i="2"/>
  <c r="X130" i="2"/>
  <c r="E130" i="2"/>
  <c r="D130" i="2"/>
  <c r="AA129" i="2"/>
  <c r="X129" i="2"/>
  <c r="E129" i="2"/>
  <c r="D129" i="2"/>
  <c r="X128" i="2"/>
  <c r="E128" i="2"/>
  <c r="D128" i="2"/>
  <c r="AA127" i="2"/>
  <c r="X127" i="2"/>
  <c r="E127" i="2"/>
  <c r="D127" i="2"/>
  <c r="AA126" i="2"/>
  <c r="X126" i="2"/>
  <c r="E126" i="2"/>
  <c r="D126" i="2"/>
  <c r="X125" i="2"/>
  <c r="E125" i="2"/>
  <c r="D125" i="2"/>
  <c r="X124" i="2"/>
  <c r="E124" i="2"/>
  <c r="D124" i="2"/>
  <c r="X123" i="2"/>
  <c r="E123" i="2"/>
  <c r="D123" i="2"/>
  <c r="AA122" i="2"/>
  <c r="X122" i="2"/>
  <c r="E122" i="2"/>
  <c r="D122" i="2"/>
  <c r="X121" i="2"/>
  <c r="E121" i="2"/>
  <c r="D121" i="2"/>
  <c r="X120" i="2"/>
  <c r="E120" i="2"/>
  <c r="D120" i="2"/>
  <c r="X119" i="2"/>
  <c r="E119" i="2"/>
  <c r="D119" i="2"/>
  <c r="X118" i="2"/>
  <c r="E118" i="2"/>
  <c r="D118" i="2"/>
  <c r="X117" i="2"/>
  <c r="E117" i="2"/>
  <c r="D117" i="2"/>
  <c r="X116" i="2"/>
  <c r="E116" i="2"/>
  <c r="D116" i="2"/>
  <c r="X115" i="2"/>
  <c r="E115" i="2"/>
  <c r="D115" i="2"/>
  <c r="AA114" i="2"/>
  <c r="X114" i="2"/>
  <c r="E114" i="2"/>
  <c r="D114" i="2"/>
  <c r="AA113" i="2"/>
  <c r="X113" i="2"/>
  <c r="E113" i="2"/>
  <c r="D113" i="2"/>
  <c r="AA112" i="2"/>
  <c r="X112" i="2"/>
  <c r="E112" i="2"/>
  <c r="D112" i="2"/>
  <c r="X111" i="2"/>
  <c r="E111" i="2"/>
  <c r="D111" i="2"/>
  <c r="X110" i="2"/>
  <c r="E110" i="2"/>
  <c r="D110" i="2"/>
  <c r="AA109" i="2"/>
  <c r="X109" i="2"/>
  <c r="E109" i="2"/>
  <c r="D109" i="2"/>
  <c r="AA108" i="2"/>
  <c r="X108" i="2"/>
  <c r="E108" i="2"/>
  <c r="D108" i="2"/>
  <c r="AA107" i="2"/>
  <c r="X107" i="2"/>
  <c r="E107" i="2"/>
  <c r="D107" i="2"/>
  <c r="X106" i="2"/>
  <c r="E106" i="2"/>
  <c r="D106" i="2"/>
  <c r="X105" i="2"/>
  <c r="E105" i="2"/>
  <c r="D105" i="2"/>
  <c r="X104" i="2"/>
  <c r="E104" i="2"/>
  <c r="D104" i="2"/>
  <c r="X103" i="2"/>
  <c r="E103" i="2"/>
  <c r="D103" i="2"/>
  <c r="X102" i="2"/>
  <c r="E102" i="2"/>
  <c r="D102" i="2"/>
  <c r="AA101" i="2"/>
  <c r="X101" i="2"/>
  <c r="E101" i="2"/>
  <c r="D101" i="2"/>
  <c r="AA100" i="2"/>
  <c r="X100" i="2"/>
  <c r="E100" i="2"/>
  <c r="D100" i="2"/>
  <c r="AA99" i="2"/>
  <c r="X99" i="2"/>
  <c r="E99" i="2"/>
  <c r="D99" i="2"/>
  <c r="AA98" i="2"/>
  <c r="U98" i="2"/>
  <c r="X98" i="2" s="1"/>
  <c r="E98" i="2"/>
  <c r="D98" i="2"/>
  <c r="AA97" i="2"/>
  <c r="X97" i="2"/>
  <c r="E97" i="2"/>
  <c r="D97" i="2"/>
  <c r="AA96" i="2"/>
  <c r="X96" i="2"/>
  <c r="E96" i="2"/>
  <c r="D96" i="2"/>
  <c r="AA95" i="2"/>
  <c r="X95" i="2"/>
  <c r="E95" i="2"/>
  <c r="D95" i="2"/>
  <c r="AA94" i="2"/>
  <c r="X94" i="2"/>
  <c r="E94" i="2"/>
  <c r="D94" i="2"/>
  <c r="AA93" i="2"/>
  <c r="X93" i="2"/>
  <c r="E93" i="2"/>
  <c r="D93" i="2"/>
  <c r="AA92" i="2"/>
  <c r="X92" i="2"/>
  <c r="E92" i="2"/>
  <c r="D92" i="2"/>
  <c r="AA91" i="2"/>
  <c r="U91" i="2"/>
  <c r="X91" i="2" s="1"/>
  <c r="E91" i="2"/>
  <c r="D91" i="2"/>
  <c r="AA90" i="2"/>
  <c r="U90" i="2"/>
  <c r="X90" i="2" s="1"/>
  <c r="E90" i="2"/>
  <c r="D90" i="2"/>
  <c r="AA89" i="2"/>
  <c r="X89" i="2"/>
  <c r="E89" i="2"/>
  <c r="D89" i="2"/>
  <c r="X88" i="2"/>
  <c r="E88" i="2"/>
  <c r="D88" i="2"/>
  <c r="AA87" i="2"/>
  <c r="X87" i="2"/>
  <c r="E87" i="2"/>
  <c r="D87" i="2"/>
  <c r="X86" i="2"/>
  <c r="E86" i="2"/>
  <c r="D86" i="2"/>
  <c r="X85" i="2"/>
  <c r="E85" i="2"/>
  <c r="D85" i="2"/>
  <c r="X84" i="2"/>
  <c r="E84" i="2"/>
  <c r="D84" i="2"/>
  <c r="X83" i="2"/>
  <c r="E83" i="2"/>
  <c r="D83" i="2"/>
  <c r="AA82" i="2"/>
  <c r="X82" i="2"/>
  <c r="E82" i="2"/>
  <c r="D82" i="2"/>
  <c r="AA81" i="2"/>
  <c r="X81" i="2"/>
  <c r="E81" i="2"/>
  <c r="D81" i="2"/>
  <c r="AA80" i="2"/>
  <c r="X80" i="2"/>
  <c r="E80" i="2"/>
  <c r="D80" i="2"/>
  <c r="AA79" i="2"/>
  <c r="X79" i="2"/>
  <c r="E79" i="2"/>
  <c r="D79" i="2"/>
  <c r="AA78" i="2"/>
  <c r="X78" i="2"/>
  <c r="E78" i="2"/>
  <c r="D78" i="2"/>
  <c r="AA77" i="2"/>
  <c r="X77" i="2"/>
  <c r="E77" i="2"/>
  <c r="D77" i="2"/>
  <c r="AA76" i="2"/>
  <c r="X76" i="2"/>
  <c r="E76" i="2"/>
  <c r="D76" i="2"/>
  <c r="AA75" i="2"/>
  <c r="X75" i="2"/>
  <c r="E75" i="2"/>
  <c r="D75" i="2"/>
  <c r="X74" i="2"/>
  <c r="E74" i="2"/>
  <c r="D74" i="2"/>
  <c r="AA73" i="2"/>
  <c r="X73" i="2"/>
  <c r="E73" i="2"/>
  <c r="D73" i="2"/>
  <c r="X72" i="2"/>
  <c r="E72" i="2"/>
  <c r="D72" i="2"/>
  <c r="X71" i="2"/>
  <c r="E71" i="2"/>
  <c r="D71" i="2"/>
  <c r="X70" i="2"/>
  <c r="E70" i="2"/>
  <c r="D70" i="2"/>
  <c r="X69" i="2"/>
  <c r="E69" i="2"/>
  <c r="D69" i="2"/>
  <c r="X68" i="2"/>
  <c r="E68" i="2"/>
  <c r="D68" i="2"/>
  <c r="X67" i="2"/>
  <c r="E67" i="2"/>
  <c r="D67" i="2"/>
  <c r="AA66" i="2"/>
  <c r="X66" i="2"/>
  <c r="E66" i="2"/>
  <c r="D66" i="2"/>
  <c r="AA65" i="2"/>
  <c r="X65" i="2"/>
  <c r="E65" i="2"/>
  <c r="D65" i="2"/>
  <c r="AA64" i="2"/>
  <c r="X64" i="2"/>
  <c r="E64" i="2"/>
  <c r="D64" i="2"/>
  <c r="AA63" i="2"/>
  <c r="X63" i="2"/>
  <c r="E63" i="2"/>
  <c r="D63" i="2"/>
  <c r="AA62" i="2"/>
  <c r="X62" i="2"/>
  <c r="E62" i="2"/>
  <c r="D62" i="2"/>
  <c r="AA61" i="2"/>
  <c r="X61" i="2"/>
  <c r="E61" i="2"/>
  <c r="D61" i="2"/>
  <c r="AA60" i="2"/>
  <c r="X60" i="2"/>
  <c r="E60" i="2"/>
  <c r="D60" i="2"/>
  <c r="X59" i="2"/>
  <c r="E59" i="2"/>
  <c r="D59" i="2"/>
  <c r="X58" i="2"/>
  <c r="E58" i="2"/>
  <c r="D58" i="2"/>
  <c r="AA57" i="2"/>
  <c r="X57" i="2"/>
  <c r="E57" i="2"/>
  <c r="D57" i="2"/>
  <c r="AA56" i="2"/>
  <c r="X56" i="2"/>
  <c r="E56" i="2"/>
  <c r="D56" i="2"/>
  <c r="AA55" i="2"/>
  <c r="X55" i="2"/>
  <c r="E55" i="2"/>
  <c r="D55" i="2"/>
  <c r="AA54" i="2"/>
  <c r="X54" i="2"/>
  <c r="E54" i="2"/>
  <c r="D54" i="2"/>
  <c r="AA53" i="2"/>
  <c r="X53" i="2"/>
  <c r="E53" i="2"/>
  <c r="D53" i="2"/>
  <c r="AA52" i="2"/>
  <c r="X52" i="2"/>
  <c r="E52" i="2"/>
  <c r="D52" i="2"/>
  <c r="AA51" i="2"/>
  <c r="X51" i="2"/>
  <c r="E51" i="2"/>
  <c r="D51" i="2"/>
  <c r="AA50" i="2"/>
  <c r="X50" i="2"/>
  <c r="E50" i="2"/>
  <c r="D50" i="2"/>
  <c r="AA49" i="2"/>
  <c r="X49" i="2"/>
  <c r="E49" i="2"/>
  <c r="D49" i="2"/>
  <c r="AA48" i="2"/>
  <c r="X48" i="2"/>
  <c r="E48" i="2"/>
  <c r="D48" i="2"/>
  <c r="AA47" i="2"/>
  <c r="X47" i="2"/>
  <c r="E47" i="2"/>
  <c r="D47" i="2"/>
  <c r="AA46" i="2"/>
  <c r="X46" i="2"/>
  <c r="E46" i="2"/>
  <c r="D46" i="2"/>
  <c r="AA45" i="2"/>
  <c r="X45" i="2"/>
  <c r="E45" i="2"/>
  <c r="D45" i="2"/>
  <c r="AA44" i="2"/>
  <c r="X44" i="2"/>
  <c r="E44" i="2"/>
  <c r="D44" i="2"/>
  <c r="AA43" i="2"/>
  <c r="X43" i="2"/>
  <c r="E43" i="2"/>
  <c r="D43" i="2"/>
  <c r="AA42" i="2"/>
  <c r="X42" i="2"/>
  <c r="E42" i="2"/>
  <c r="D42" i="2"/>
  <c r="AA41" i="2"/>
  <c r="X41" i="2"/>
  <c r="E41" i="2"/>
  <c r="D41" i="2"/>
  <c r="X40" i="2"/>
  <c r="E40" i="2"/>
  <c r="D40" i="2"/>
  <c r="AA39" i="2"/>
  <c r="X39" i="2"/>
  <c r="E39" i="2"/>
  <c r="D39" i="2"/>
  <c r="AA38" i="2"/>
  <c r="X38" i="2"/>
  <c r="E38" i="2"/>
  <c r="D38" i="2"/>
  <c r="X37" i="2"/>
  <c r="E37" i="2"/>
  <c r="D37" i="2"/>
  <c r="X36" i="2"/>
  <c r="E36" i="2"/>
  <c r="D36" i="2"/>
  <c r="X35" i="2"/>
  <c r="E35" i="2"/>
  <c r="D35" i="2"/>
  <c r="X34" i="2"/>
  <c r="E34" i="2"/>
  <c r="D34" i="2"/>
  <c r="X33" i="2"/>
  <c r="E33" i="2"/>
  <c r="D33" i="2"/>
  <c r="AA32" i="2"/>
  <c r="X32" i="2"/>
  <c r="E32" i="2"/>
  <c r="D32" i="2"/>
  <c r="AA31" i="2"/>
  <c r="X31" i="2"/>
  <c r="E31" i="2"/>
  <c r="D31" i="2"/>
  <c r="AA30" i="2"/>
  <c r="X30" i="2"/>
  <c r="E30" i="2"/>
  <c r="D30" i="2"/>
  <c r="AA29" i="2"/>
  <c r="X29" i="2"/>
  <c r="E29" i="2"/>
  <c r="D29" i="2"/>
  <c r="AA28" i="2"/>
  <c r="X28" i="2"/>
  <c r="E28" i="2"/>
  <c r="D28" i="2"/>
  <c r="AA27" i="2"/>
  <c r="X27" i="2"/>
  <c r="E27" i="2"/>
  <c r="D27" i="2"/>
  <c r="X26" i="2"/>
  <c r="E26" i="2"/>
  <c r="D26" i="2"/>
  <c r="AA25" i="2"/>
  <c r="X25" i="2"/>
  <c r="E25" i="2"/>
  <c r="D25" i="2"/>
  <c r="AA24" i="2"/>
  <c r="X24" i="2"/>
  <c r="E24" i="2"/>
  <c r="D24" i="2"/>
  <c r="AA23" i="2"/>
  <c r="X23" i="2"/>
  <c r="E23" i="2"/>
  <c r="D23" i="2"/>
  <c r="AA22" i="2"/>
  <c r="X22" i="2"/>
  <c r="E22" i="2"/>
  <c r="D22" i="2"/>
  <c r="AA21" i="2"/>
  <c r="X21" i="2"/>
  <c r="E21" i="2"/>
  <c r="D21" i="2"/>
  <c r="AA20" i="2"/>
  <c r="X20" i="2"/>
  <c r="E20" i="2"/>
  <c r="D20" i="2"/>
  <c r="AA19" i="2"/>
  <c r="X19" i="2"/>
  <c r="E19" i="2"/>
  <c r="D19" i="2"/>
  <c r="AA18" i="2"/>
  <c r="X18" i="2"/>
  <c r="E18" i="2"/>
  <c r="D18" i="2"/>
  <c r="X17" i="2"/>
  <c r="E17" i="2"/>
  <c r="D17" i="2"/>
  <c r="X16" i="2"/>
  <c r="E16" i="2"/>
  <c r="D16" i="2"/>
  <c r="AA15" i="2"/>
  <c r="X15" i="2"/>
  <c r="E15" i="2"/>
  <c r="D15" i="2"/>
  <c r="AA14" i="2"/>
  <c r="X14" i="2"/>
  <c r="E14" i="2"/>
  <c r="D14" i="2"/>
  <c r="AA13" i="2"/>
  <c r="X13" i="2"/>
  <c r="E13" i="2"/>
  <c r="D13" i="2"/>
  <c r="AA12" i="2"/>
  <c r="X12" i="2"/>
  <c r="E12" i="2"/>
  <c r="D12" i="2"/>
  <c r="AA11" i="2"/>
  <c r="X11" i="2"/>
  <c r="E11" i="2"/>
  <c r="D11" i="2"/>
  <c r="AA10" i="2"/>
  <c r="X10" i="2"/>
  <c r="E10" i="2"/>
  <c r="D10" i="2"/>
  <c r="X9" i="2"/>
  <c r="E9" i="2"/>
  <c r="D9" i="2"/>
  <c r="AA8" i="2"/>
  <c r="X8" i="2"/>
  <c r="E8" i="2"/>
  <c r="D8" i="2"/>
  <c r="AA7" i="2"/>
  <c r="X7" i="2"/>
  <c r="E7" i="2"/>
  <c r="D7" i="2"/>
  <c r="AA6" i="2"/>
  <c r="X6" i="2"/>
  <c r="E6" i="2"/>
  <c r="D6" i="2"/>
  <c r="AA5" i="2"/>
  <c r="X5" i="2"/>
  <c r="E5" i="2"/>
  <c r="D5" i="2"/>
  <c r="X4" i="2"/>
  <c r="E4" i="2"/>
  <c r="D4" i="2"/>
  <c r="AA3" i="2"/>
  <c r="X3" i="2"/>
  <c r="E3" i="2"/>
  <c r="D3" i="2"/>
  <c r="AA2" i="2"/>
  <c r="X2" i="2"/>
  <c r="E2" i="2"/>
  <c r="D2" i="2"/>
  <c r="R164" i="1" l="1"/>
  <c r="Q164" i="1"/>
  <c r="P164" i="1"/>
  <c r="B164" i="1"/>
  <c r="R163" i="1"/>
  <c r="Q163" i="1"/>
  <c r="P163" i="1"/>
  <c r="B163" i="1"/>
  <c r="R162" i="1"/>
  <c r="Q162" i="1"/>
  <c r="P162" i="1"/>
  <c r="B162" i="1"/>
  <c r="P161" i="1"/>
  <c r="B161" i="1"/>
  <c r="R160" i="1"/>
  <c r="P160" i="1"/>
  <c r="B160" i="1"/>
  <c r="P159" i="1"/>
  <c r="B159" i="1"/>
  <c r="P158" i="1"/>
  <c r="B158" i="1"/>
  <c r="P157" i="1"/>
  <c r="B157" i="1"/>
  <c r="R156" i="1"/>
  <c r="P156" i="1"/>
  <c r="B156" i="1"/>
  <c r="R155" i="1"/>
  <c r="P155" i="1"/>
  <c r="B155" i="1"/>
  <c r="R154" i="1"/>
  <c r="P154" i="1"/>
  <c r="B154" i="1"/>
  <c r="P153" i="1"/>
  <c r="B153" i="1"/>
  <c r="P152" i="1"/>
  <c r="B152" i="1"/>
  <c r="P151" i="1"/>
  <c r="B151" i="1"/>
  <c r="P150" i="1"/>
  <c r="B150" i="1"/>
  <c r="P149" i="1"/>
  <c r="B149" i="1"/>
  <c r="R148" i="1"/>
  <c r="P148" i="1"/>
  <c r="B148" i="1"/>
  <c r="R147" i="1"/>
  <c r="P147" i="1"/>
  <c r="B147" i="1"/>
  <c r="R146" i="1"/>
  <c r="P146" i="1"/>
  <c r="B146" i="1"/>
  <c r="R145" i="1"/>
  <c r="P145" i="1"/>
  <c r="B145" i="1"/>
  <c r="R144" i="1"/>
  <c r="P144" i="1"/>
  <c r="B144" i="1"/>
  <c r="P143" i="1"/>
  <c r="B143" i="1"/>
  <c r="P142" i="1"/>
  <c r="B142" i="1"/>
  <c r="P141" i="1"/>
  <c r="B141" i="1"/>
  <c r="R140" i="1"/>
  <c r="P140" i="1"/>
  <c r="B140" i="1"/>
  <c r="R139" i="1"/>
  <c r="P139" i="1"/>
  <c r="B139" i="1"/>
  <c r="R138" i="1"/>
  <c r="P138" i="1"/>
  <c r="B138" i="1"/>
  <c r="R137" i="1"/>
  <c r="P137" i="1"/>
  <c r="B137" i="1"/>
  <c r="P136" i="1"/>
  <c r="B136" i="1"/>
  <c r="R135" i="1"/>
  <c r="P135" i="1"/>
  <c r="B135" i="1"/>
  <c r="R134" i="1"/>
  <c r="P134" i="1"/>
  <c r="B134" i="1"/>
  <c r="R133" i="1"/>
  <c r="P133" i="1"/>
  <c r="B133" i="1"/>
  <c r="R132" i="1"/>
  <c r="P132" i="1"/>
  <c r="B132" i="1"/>
  <c r="R131" i="1"/>
  <c r="P131" i="1"/>
  <c r="B131" i="1"/>
  <c r="R130" i="1"/>
  <c r="P130" i="1"/>
  <c r="B130" i="1"/>
  <c r="R129" i="1"/>
  <c r="P129" i="1"/>
  <c r="B129" i="1"/>
  <c r="P128" i="1"/>
  <c r="B128" i="1"/>
  <c r="R127" i="1"/>
  <c r="P127" i="1"/>
  <c r="B127" i="1"/>
  <c r="R126" i="1"/>
  <c r="P126" i="1"/>
  <c r="B126" i="1"/>
  <c r="P125" i="1"/>
  <c r="B125" i="1"/>
  <c r="P124" i="1"/>
  <c r="B124" i="1"/>
  <c r="P123" i="1"/>
  <c r="B123" i="1"/>
  <c r="R122" i="1"/>
  <c r="P122" i="1"/>
  <c r="B122" i="1"/>
  <c r="P121" i="1"/>
  <c r="B121" i="1"/>
  <c r="P120" i="1"/>
  <c r="B120" i="1"/>
  <c r="P119" i="1"/>
  <c r="B119" i="1"/>
  <c r="P118" i="1"/>
  <c r="B118" i="1"/>
  <c r="P117" i="1"/>
  <c r="B117" i="1"/>
  <c r="P116" i="1"/>
  <c r="B116" i="1"/>
  <c r="P115" i="1"/>
  <c r="B115" i="1"/>
  <c r="R114" i="1"/>
  <c r="P114" i="1"/>
  <c r="B114" i="1"/>
  <c r="R113" i="1"/>
  <c r="P113" i="1"/>
  <c r="B113" i="1"/>
  <c r="R112" i="1"/>
  <c r="P112" i="1"/>
  <c r="B112" i="1"/>
  <c r="P111" i="1"/>
  <c r="B111" i="1"/>
  <c r="P110" i="1"/>
  <c r="B110" i="1"/>
  <c r="R109" i="1"/>
  <c r="P109" i="1"/>
  <c r="B109" i="1"/>
  <c r="R108" i="1"/>
  <c r="P108" i="1"/>
  <c r="B108" i="1"/>
  <c r="R107" i="1"/>
  <c r="P107" i="1"/>
  <c r="B107" i="1"/>
  <c r="P106" i="1"/>
  <c r="B106" i="1"/>
  <c r="P105" i="1"/>
  <c r="B105" i="1"/>
  <c r="P104" i="1"/>
  <c r="B104" i="1"/>
  <c r="P103" i="1"/>
  <c r="B103" i="1"/>
  <c r="P102" i="1"/>
  <c r="B102" i="1"/>
  <c r="R101" i="1"/>
  <c r="P101" i="1"/>
  <c r="B101" i="1"/>
  <c r="R100" i="1"/>
  <c r="P100" i="1"/>
  <c r="B100" i="1"/>
  <c r="R99" i="1"/>
  <c r="P99" i="1"/>
  <c r="B99" i="1"/>
  <c r="R98" i="1"/>
  <c r="M98" i="1"/>
  <c r="P98" i="1" s="1"/>
  <c r="B98" i="1"/>
  <c r="R97" i="1"/>
  <c r="P97" i="1"/>
  <c r="B97" i="1"/>
  <c r="R96" i="1"/>
  <c r="P96" i="1"/>
  <c r="B96" i="1"/>
  <c r="R95" i="1"/>
  <c r="P95" i="1"/>
  <c r="B95" i="1"/>
  <c r="R94" i="1"/>
  <c r="P94" i="1"/>
  <c r="B94" i="1"/>
  <c r="R93" i="1"/>
  <c r="P93" i="1"/>
  <c r="B93" i="1"/>
  <c r="R92" i="1"/>
  <c r="P92" i="1"/>
  <c r="B92" i="1"/>
  <c r="R91" i="1"/>
  <c r="P91" i="1"/>
  <c r="M91" i="1"/>
  <c r="B91" i="1"/>
  <c r="R90" i="1"/>
  <c r="P90" i="1"/>
  <c r="M90" i="1"/>
  <c r="B90" i="1"/>
  <c r="R89" i="1"/>
  <c r="P89" i="1"/>
  <c r="B89" i="1"/>
  <c r="P88" i="1"/>
  <c r="B88" i="1"/>
  <c r="R87" i="1"/>
  <c r="P87" i="1"/>
  <c r="B87" i="1"/>
  <c r="P86" i="1"/>
  <c r="B86" i="1"/>
  <c r="P85" i="1"/>
  <c r="B85" i="1"/>
  <c r="P84" i="1"/>
  <c r="B84" i="1"/>
  <c r="P83" i="1"/>
  <c r="B83" i="1"/>
  <c r="R82" i="1"/>
  <c r="P82" i="1"/>
  <c r="B82" i="1"/>
  <c r="R81" i="1"/>
  <c r="P81" i="1"/>
  <c r="B81" i="1"/>
  <c r="R80" i="1"/>
  <c r="P80" i="1"/>
  <c r="B80" i="1"/>
  <c r="R79" i="1"/>
  <c r="P79" i="1"/>
  <c r="B79" i="1"/>
  <c r="R78" i="1"/>
  <c r="P78" i="1"/>
  <c r="B78" i="1"/>
  <c r="R77" i="1"/>
  <c r="P77" i="1"/>
  <c r="B77" i="1"/>
  <c r="R76" i="1"/>
  <c r="P76" i="1"/>
  <c r="B76" i="1"/>
  <c r="R75" i="1"/>
  <c r="P75" i="1"/>
  <c r="B75" i="1"/>
  <c r="P74" i="1"/>
  <c r="B74" i="1"/>
  <c r="R73" i="1"/>
  <c r="P73" i="1"/>
  <c r="B73" i="1"/>
  <c r="P72" i="1"/>
  <c r="B72" i="1"/>
  <c r="P71" i="1"/>
  <c r="B71" i="1"/>
  <c r="P70" i="1"/>
  <c r="B70" i="1"/>
  <c r="P69" i="1"/>
  <c r="B69" i="1"/>
  <c r="P68" i="1"/>
  <c r="B68" i="1"/>
  <c r="P67" i="1"/>
  <c r="B67" i="1"/>
  <c r="R66" i="1"/>
  <c r="P66" i="1"/>
  <c r="B66" i="1"/>
  <c r="R65" i="1"/>
  <c r="P65" i="1"/>
  <c r="B65" i="1"/>
  <c r="R64" i="1"/>
  <c r="P64" i="1"/>
  <c r="B64" i="1"/>
  <c r="R63" i="1"/>
  <c r="P63" i="1"/>
  <c r="B63" i="1"/>
  <c r="R62" i="1"/>
  <c r="P62" i="1"/>
  <c r="B62" i="1"/>
  <c r="R61" i="1"/>
  <c r="P61" i="1"/>
  <c r="B61" i="1"/>
  <c r="R60" i="1"/>
  <c r="P60" i="1"/>
  <c r="B60" i="1"/>
  <c r="P59" i="1"/>
  <c r="B59" i="1"/>
  <c r="P58" i="1"/>
  <c r="B58" i="1"/>
  <c r="R57" i="1"/>
  <c r="P57" i="1"/>
  <c r="B57" i="1"/>
  <c r="R56" i="1"/>
  <c r="P56" i="1"/>
  <c r="B56" i="1"/>
  <c r="R55" i="1"/>
  <c r="P55" i="1"/>
  <c r="B55" i="1"/>
  <c r="R54" i="1"/>
  <c r="P54" i="1"/>
  <c r="B54" i="1"/>
  <c r="R53" i="1"/>
  <c r="P53" i="1"/>
  <c r="B53" i="1"/>
  <c r="R52" i="1"/>
  <c r="P52" i="1"/>
  <c r="B52" i="1"/>
  <c r="R51" i="1"/>
  <c r="P51" i="1"/>
  <c r="B51" i="1"/>
  <c r="R50" i="1"/>
  <c r="P50" i="1"/>
  <c r="B50" i="1"/>
  <c r="R49" i="1"/>
  <c r="P49" i="1"/>
  <c r="B49" i="1"/>
  <c r="R48" i="1"/>
  <c r="P48" i="1"/>
  <c r="B48" i="1"/>
  <c r="R47" i="1"/>
  <c r="P47" i="1"/>
  <c r="B47" i="1"/>
  <c r="R46" i="1"/>
  <c r="P46" i="1"/>
  <c r="B46" i="1"/>
  <c r="R45" i="1"/>
  <c r="P45" i="1"/>
  <c r="B45" i="1"/>
  <c r="R44" i="1"/>
  <c r="P44" i="1"/>
  <c r="B44" i="1"/>
  <c r="R43" i="1"/>
  <c r="P43" i="1"/>
  <c r="B43" i="1"/>
  <c r="R42" i="1"/>
  <c r="P42" i="1"/>
  <c r="B42" i="1"/>
  <c r="R41" i="1"/>
  <c r="P41" i="1"/>
  <c r="B41" i="1"/>
  <c r="P40" i="1"/>
  <c r="B40" i="1"/>
  <c r="R39" i="1"/>
  <c r="P39" i="1"/>
  <c r="B39" i="1"/>
  <c r="R38" i="1"/>
  <c r="P38" i="1"/>
  <c r="B38" i="1"/>
  <c r="P37" i="1"/>
  <c r="B37" i="1"/>
  <c r="P36" i="1"/>
  <c r="B36" i="1"/>
  <c r="P35" i="1"/>
  <c r="B35" i="1"/>
  <c r="P34" i="1"/>
  <c r="B34" i="1"/>
  <c r="P33" i="1"/>
  <c r="B33" i="1"/>
  <c r="R32" i="1"/>
  <c r="P32" i="1"/>
  <c r="B32" i="1"/>
  <c r="R31" i="1"/>
  <c r="P31" i="1"/>
  <c r="B31" i="1"/>
  <c r="R30" i="1"/>
  <c r="P30" i="1"/>
  <c r="B30" i="1"/>
  <c r="R29" i="1"/>
  <c r="P29" i="1"/>
  <c r="B29" i="1"/>
  <c r="R28" i="1"/>
  <c r="P28" i="1"/>
  <c r="B28" i="1"/>
  <c r="R27" i="1"/>
  <c r="P27" i="1"/>
  <c r="B27" i="1"/>
  <c r="P26" i="1"/>
  <c r="B26" i="1"/>
  <c r="R25" i="1"/>
  <c r="P25" i="1"/>
  <c r="B25" i="1"/>
  <c r="R24" i="1"/>
  <c r="P24" i="1"/>
  <c r="B24" i="1"/>
  <c r="R23" i="1"/>
  <c r="P23" i="1"/>
  <c r="B23" i="1"/>
  <c r="R22" i="1"/>
  <c r="P22" i="1"/>
  <c r="B22" i="1"/>
  <c r="R21" i="1"/>
  <c r="P21" i="1"/>
  <c r="B21" i="1"/>
  <c r="R20" i="1"/>
  <c r="P20" i="1"/>
  <c r="B20" i="1"/>
  <c r="R19" i="1"/>
  <c r="P19" i="1"/>
  <c r="B19" i="1"/>
  <c r="R18" i="1"/>
  <c r="P18" i="1"/>
  <c r="B18" i="1"/>
  <c r="P17" i="1"/>
  <c r="B17" i="1"/>
  <c r="P16" i="1"/>
  <c r="B16" i="1"/>
  <c r="R15" i="1"/>
  <c r="P15" i="1"/>
  <c r="B15" i="1"/>
  <c r="R14" i="1"/>
  <c r="P14" i="1"/>
  <c r="B14" i="1"/>
  <c r="R13" i="1"/>
  <c r="P13" i="1"/>
  <c r="B13" i="1"/>
  <c r="R12" i="1"/>
  <c r="P12" i="1"/>
  <c r="B12" i="1"/>
  <c r="R11" i="1"/>
  <c r="P11" i="1"/>
  <c r="B11" i="1"/>
  <c r="R10" i="1"/>
  <c r="P10" i="1"/>
  <c r="B10" i="1"/>
  <c r="P9" i="1"/>
  <c r="B9" i="1"/>
  <c r="R8" i="1"/>
  <c r="P8" i="1"/>
  <c r="B8" i="1"/>
  <c r="R7" i="1"/>
  <c r="P7" i="1"/>
  <c r="B7" i="1"/>
  <c r="R6" i="1"/>
  <c r="P6" i="1"/>
  <c r="B6" i="1"/>
  <c r="R5" i="1"/>
  <c r="P5" i="1"/>
  <c r="B5" i="1"/>
  <c r="P4" i="1"/>
  <c r="B4" i="1"/>
  <c r="R3" i="1"/>
  <c r="P3" i="1"/>
  <c r="B3" i="1"/>
  <c r="R2" i="1"/>
  <c r="P2" i="1"/>
  <c r="B2" i="1"/>
</calcChain>
</file>

<file path=xl/sharedStrings.xml><?xml version="1.0" encoding="utf-8"?>
<sst xmlns="http://schemas.openxmlformats.org/spreadsheetml/2006/main" count="2528" uniqueCount="271">
  <si>
    <t>Tolerance_factor_new</t>
  </si>
  <si>
    <t>Temperature_K</t>
  </si>
  <si>
    <t>A_source</t>
  </si>
  <si>
    <t>A_amount_mmol</t>
  </si>
  <si>
    <t>B1_source</t>
  </si>
  <si>
    <t>B1_amount_mmol</t>
  </si>
  <si>
    <t>B2_source</t>
  </si>
  <si>
    <t>B2_amount_mmol</t>
  </si>
  <si>
    <t>X_source</t>
  </si>
  <si>
    <t>X_amount_mmol</t>
  </si>
  <si>
    <t>Amine_amount_mmol</t>
  </si>
  <si>
    <t>Carboxylic_acid_amount_mmol</t>
  </si>
  <si>
    <t>S_I_amount_mL</t>
  </si>
  <si>
    <t>S_II</t>
  </si>
  <si>
    <t>S_II_amount_mL</t>
  </si>
  <si>
    <t>Total_amount</t>
  </si>
  <si>
    <t>Bandgap</t>
  </si>
  <si>
    <t>Time_min</t>
  </si>
  <si>
    <t>Diameter_nm</t>
  </si>
  <si>
    <t>cesium_acetate</t>
  </si>
  <si>
    <t>copper_II_acetate</t>
  </si>
  <si>
    <t>antimony_III_acetate</t>
  </si>
  <si>
    <t>chlorotrimethylsilane</t>
  </si>
  <si>
    <t>silver_acetate</t>
  </si>
  <si>
    <t>cesium_carbonate</t>
  </si>
  <si>
    <t>silver_nitrate</t>
  </si>
  <si>
    <t>indium_III_chloride</t>
  </si>
  <si>
    <t>from_metal_salt</t>
  </si>
  <si>
    <t>hydrochloric_acid</t>
  </si>
  <si>
    <t>bismuth_III_neodecanoate</t>
  </si>
  <si>
    <t>benzoyl_bromide</t>
  </si>
  <si>
    <t>sodium_acetate</t>
  </si>
  <si>
    <t>indium_III_acetate</t>
  </si>
  <si>
    <t>benzoyl_chloride</t>
  </si>
  <si>
    <t>ethylhexanoyl_chloride</t>
  </si>
  <si>
    <t>bismuth_III_acetate</t>
  </si>
  <si>
    <t>bromotrimethylsilane</t>
  </si>
  <si>
    <t>bismuth_III_bromide</t>
  </si>
  <si>
    <t>hydrobromic_acid</t>
  </si>
  <si>
    <t>copper_II_chloride</t>
  </si>
  <si>
    <t>manganese_II_chloride</t>
  </si>
  <si>
    <t>cadmium_II_chloride</t>
  </si>
  <si>
    <t>cadmium_II_acetate</t>
  </si>
  <si>
    <t>manganese_II_acetate</t>
  </si>
  <si>
    <t>silver_bromide</t>
  </si>
  <si>
    <t>diisooctylphosphinic_acid</t>
  </si>
  <si>
    <t>erbium_III_acetate</t>
  </si>
  <si>
    <t>tin_II_bromide</t>
  </si>
  <si>
    <t>tin_II_iodide</t>
  </si>
  <si>
    <t>bismuth_III_chloride</t>
  </si>
  <si>
    <t>silver_oxide</t>
  </si>
  <si>
    <t>antimony_III_chloride</t>
  </si>
  <si>
    <t>bismuth_III_iodide</t>
  </si>
  <si>
    <t>octanoic_acid</t>
  </si>
  <si>
    <t>germanium_IV_chloride</t>
  </si>
  <si>
    <t>just_one_B</t>
  </si>
  <si>
    <t>hafnium_IV_acetylacetonate</t>
  </si>
  <si>
    <t>antimony_III_bromide</t>
  </si>
  <si>
    <t>rubidium_carbonate</t>
  </si>
  <si>
    <t>trimethylsilyl_iodide</t>
  </si>
  <si>
    <t>oleic_acid</t>
  </si>
  <si>
    <t>praseodymium_III_chloride</t>
  </si>
  <si>
    <t>indium_III_bromide</t>
  </si>
  <si>
    <t>tin_IV_bromide</t>
  </si>
  <si>
    <t>tin_II_chloride</t>
  </si>
  <si>
    <t>tin_IV_iodide</t>
  </si>
  <si>
    <t>potassium_carbonate</t>
  </si>
  <si>
    <t>rubidium_acetate</t>
  </si>
  <si>
    <t>tin_IV_chloride</t>
  </si>
  <si>
    <t>zirconium_II_carbonate</t>
  </si>
  <si>
    <t>acetic_acid</t>
  </si>
  <si>
    <t>titanium_IV_isopropoxide</t>
  </si>
  <si>
    <t>titanium_di_isopropoxide_bis_acetylacetonate</t>
  </si>
  <si>
    <t>cesium_bromide</t>
  </si>
  <si>
    <t>copper_I_iodide</t>
  </si>
  <si>
    <t>indium_III_iodide</t>
  </si>
  <si>
    <t>copper_I_chloride</t>
  </si>
  <si>
    <t>copper_I_bromide</t>
  </si>
  <si>
    <t>zinc_iodide</t>
  </si>
  <si>
    <t>zinc_bromide</t>
  </si>
  <si>
    <t>manganese_chloride</t>
  </si>
  <si>
    <t>bromooctadecane</t>
  </si>
  <si>
    <t>tin_II_ethylhexanoate</t>
  </si>
  <si>
    <t>germanium_II_iodide</t>
  </si>
  <si>
    <t>ytterbium_II_iodide</t>
  </si>
  <si>
    <t>europium_III_chloride</t>
  </si>
  <si>
    <t>tin_II_oxalate</t>
  </si>
  <si>
    <t>ammonium_iodide</t>
  </si>
  <si>
    <t>ammonium_bromide</t>
  </si>
  <si>
    <t>ammonium_chloride</t>
  </si>
  <si>
    <t>Perovskite</t>
  </si>
  <si>
    <t>Tolerance_factor_old</t>
  </si>
  <si>
    <t>Tollerance_factor_new</t>
  </si>
  <si>
    <t>Growth_K</t>
  </si>
  <si>
    <t>Phosphine</t>
  </si>
  <si>
    <t>Phosphine_amount_mmol</t>
  </si>
  <si>
    <t>Amine</t>
  </si>
  <si>
    <t>Carboxylic_acid</t>
  </si>
  <si>
    <t>S_I</t>
  </si>
  <si>
    <t>Solvent_II_mL</t>
  </si>
  <si>
    <t>S_II_amount</t>
  </si>
  <si>
    <t>Bandgap_from</t>
  </si>
  <si>
    <t>Diameter_from</t>
  </si>
  <si>
    <t>DOI</t>
  </si>
  <si>
    <t>Cs2CuSbCl6</t>
  </si>
  <si>
    <t>oleylamine</t>
  </si>
  <si>
    <t>octadecene</t>
  </si>
  <si>
    <t>tauc_plot</t>
  </si>
  <si>
    <t>TEM</t>
  </si>
  <si>
    <t>10.1021/acs.jpclett.0c01968</t>
  </si>
  <si>
    <t>Cs2AgSbCl6</t>
  </si>
  <si>
    <t>Cs2AgInCl6</t>
  </si>
  <si>
    <t>10.1021/acs.jpclett.0c02553</t>
  </si>
  <si>
    <t>Cs2AgBiBr6</t>
  </si>
  <si>
    <t xml:space="preserve"> trioctylphosphine</t>
  </si>
  <si>
    <t>10.1007/s12274-020-3161-6</t>
  </si>
  <si>
    <t>Cs2NaInCl6</t>
  </si>
  <si>
    <t>10.1002/anie.201909525</t>
  </si>
  <si>
    <t>xylene</t>
  </si>
  <si>
    <t>10.1021/acs.chemmater.8b04202</t>
  </si>
  <si>
    <t>2-ethyl_2-hexanoyl_chloride</t>
  </si>
  <si>
    <t>10.1021/acs.jpcc.8b12146</t>
  </si>
  <si>
    <t>10.1002/adom.202001866</t>
  </si>
  <si>
    <t>10.1021/acsnano.0c00997</t>
  </si>
  <si>
    <t>10.1016/j.jcat.2021.03.007</t>
  </si>
  <si>
    <t>Cs2NaBiCl6</t>
  </si>
  <si>
    <t>10.1002/adom.201901919</t>
  </si>
  <si>
    <t>10.1016/j.cplett.2021.138440</t>
  </si>
  <si>
    <t>10.1039/D1SE00754H</t>
  </si>
  <si>
    <t>10.1021/acs.nanolett.0c04148</t>
  </si>
  <si>
    <t>Cs4CuSb2Cl12</t>
  </si>
  <si>
    <t>diphenyl_ether</t>
  </si>
  <si>
    <t>10.1021/acsanm.0c02879</t>
  </si>
  <si>
    <t>Cs4MnBi2Cl12</t>
  </si>
  <si>
    <t>10.1039/D0NR06771G</t>
  </si>
  <si>
    <t>Cs4CdBi2Cl12</t>
  </si>
  <si>
    <t>10.1021/jacs.0c04919</t>
  </si>
  <si>
    <t>10.1021/jacs.8b07983</t>
  </si>
  <si>
    <t>10.1021/acs.nanolett.7b04659</t>
  </si>
  <si>
    <t>Cs2AgBiCl6</t>
  </si>
  <si>
    <t>10.1039/d1se00754h</t>
  </si>
  <si>
    <t>Cs4CdSb2Cl12</t>
  </si>
  <si>
    <t>10.1002/adma.202007215</t>
  </si>
  <si>
    <t>Cs4MnSb2Cl12</t>
  </si>
  <si>
    <t>10.1002/adom202001866</t>
  </si>
  <si>
    <t>10.1021/acs.chemmater.9b02149</t>
  </si>
  <si>
    <t>Cs2NaErCl6</t>
  </si>
  <si>
    <t>10.1002/lpor.202100218</t>
  </si>
  <si>
    <t>Cs4SnBr3I3</t>
  </si>
  <si>
    <t>10.1039/D1NR06497E</t>
  </si>
  <si>
    <t>10.1016/j.materresbull.2021.111645</t>
  </si>
  <si>
    <t>10.1021/acs.jpclett.9b02168</t>
  </si>
  <si>
    <t>10.1021/acsomega.1c03290</t>
  </si>
  <si>
    <t>spectra</t>
  </si>
  <si>
    <t>10.1021/acs.chemmater.9b04243</t>
  </si>
  <si>
    <t>dioctyl_ether</t>
  </si>
  <si>
    <t>10.1021/acsenergylett.0c00914</t>
  </si>
  <si>
    <t>10.1021/acscentsci.0c00056</t>
  </si>
  <si>
    <t>10.1002/er.6924</t>
  </si>
  <si>
    <t>10.1039/d1nr06200j</t>
  </si>
  <si>
    <t>10.1063/1.5127971</t>
  </si>
  <si>
    <t>10.1002/smll.201703762</t>
  </si>
  <si>
    <t>Cs3Bi2I6Cl3</t>
  </si>
  <si>
    <t>10.1002/anie.202005966</t>
  </si>
  <si>
    <t>10.1021/acs.chemmater.0c04536</t>
  </si>
  <si>
    <t>10.1021/acs.chemmater.9b02973</t>
  </si>
  <si>
    <t>octylamine</t>
  </si>
  <si>
    <t>10.1007/s12274-021-3343-x</t>
  </si>
  <si>
    <t>10.1021/acsami.1c10782</t>
  </si>
  <si>
    <t>10.1021/acsami.9b02367</t>
  </si>
  <si>
    <t>10.1016/j.scib.2020.03.010</t>
  </si>
  <si>
    <t>Cs2AgSbBr6</t>
  </si>
  <si>
    <t>10.1002/anie.201811610</t>
  </si>
  <si>
    <t>10.1039/d2nr00565d</t>
  </si>
  <si>
    <t>10.1021/acs.nanolett.1c03527</t>
  </si>
  <si>
    <t>Cs4CuIn2Cl12</t>
  </si>
  <si>
    <t>10.1021/acs.nanolett.1c03822</t>
  </si>
  <si>
    <t>10.1039/d1tc05647f</t>
  </si>
  <si>
    <r>
      <rPr>
        <sz val="11"/>
        <color rgb="FF000000"/>
        <rFont val="Arial"/>
        <charset val="134"/>
      </rPr>
      <t>Cs</t>
    </r>
    <r>
      <rPr>
        <sz val="11"/>
        <color rgb="FF231F20"/>
        <rFont val="Arial"/>
        <charset val="134"/>
      </rPr>
      <t>2</t>
    </r>
    <r>
      <rPr>
        <sz val="11"/>
        <color rgb="FF000000"/>
        <rFont val="Arial"/>
        <charset val="134"/>
      </rPr>
      <t>HfCl</t>
    </r>
    <r>
      <rPr>
        <sz val="11"/>
        <color rgb="FF231F20"/>
        <rFont val="Arial"/>
        <charset val="134"/>
      </rPr>
      <t>6</t>
    </r>
  </si>
  <si>
    <t xml:space="preserve"> hafnium_IV_acetylacetonate</t>
  </si>
  <si>
    <t>10.1002/lpor.202100439</t>
  </si>
  <si>
    <t>Cs3Bi2I9</t>
  </si>
  <si>
    <t>10.1021/acs.inorgchem.8b02887</t>
  </si>
  <si>
    <t>Cs3Sb2Br9</t>
  </si>
  <si>
    <t>antimony_III_ bromide</t>
  </si>
  <si>
    <t>10.1039/c9nr07722g</t>
  </si>
  <si>
    <t>10.1039/c7cc07223f</t>
  </si>
  <si>
    <t>10.1021/acs.jpcc.8b03542</t>
  </si>
  <si>
    <t>Rb3Bi2I9</t>
  </si>
  <si>
    <t>10.1021/acs.chemmater.9b00640</t>
  </si>
  <si>
    <t>Cs3Bi2Cl9</t>
  </si>
  <si>
    <t>Cs3Bi2Br9</t>
  </si>
  <si>
    <t>10.1016/j.jphotochem.2021.113460</t>
  </si>
  <si>
    <t>10.1021/acs.jpclett.7b01381</t>
  </si>
  <si>
    <t>10.1021/acsanm.0c02288</t>
  </si>
  <si>
    <t>10.1166/jnn.2020.17495</t>
  </si>
  <si>
    <r>
      <rPr>
        <sz val="10"/>
        <color rgb="FF000000"/>
        <rFont val="MinionPro"/>
        <charset val="134"/>
      </rPr>
      <t>Cs</t>
    </r>
    <r>
      <rPr>
        <sz val="8"/>
        <color rgb="FF000000"/>
        <rFont val="MinionPro"/>
        <charset val="134"/>
      </rPr>
      <t>3</t>
    </r>
    <r>
      <rPr>
        <sz val="10"/>
        <color rgb="FF000000"/>
        <rFont val="MinionPro"/>
        <charset val="134"/>
      </rPr>
      <t>Sb</t>
    </r>
    <r>
      <rPr>
        <sz val="8"/>
        <color rgb="FF000000"/>
        <rFont val="MinionPro"/>
        <charset val="134"/>
      </rPr>
      <t>2</t>
    </r>
    <r>
      <rPr>
        <sz val="10"/>
        <color rgb="FF000000"/>
        <rFont val="MinionPro"/>
        <charset val="134"/>
      </rPr>
      <t>Br</t>
    </r>
    <r>
      <rPr>
        <sz val="8"/>
        <color rgb="FF000000"/>
        <rFont val="MinionPro"/>
        <charset val="134"/>
      </rPr>
      <t>9</t>
    </r>
  </si>
  <si>
    <t>antimony_III_ tribromide</t>
  </si>
  <si>
    <t>10.1080/15980316.2019.1664651</t>
  </si>
  <si>
    <t>Cs3Sb2Cl9</t>
  </si>
  <si>
    <t>dodecanol</t>
  </si>
  <si>
    <t>10.1021/acs.inorgchem.9b01893</t>
  </si>
  <si>
    <t>Cs3Sb2I9</t>
  </si>
  <si>
    <t>Cs3BiCl6</t>
  </si>
  <si>
    <t>Cs3PrCl6</t>
  </si>
  <si>
    <t>10.1021/acsaelm.1c00422</t>
  </si>
  <si>
    <t xml:space="preserve">Cs3InBr6 </t>
  </si>
  <si>
    <t>10.1016/j.nantod.2021.101153</t>
  </si>
  <si>
    <t>Cs2SnBr6</t>
  </si>
  <si>
    <t>10.1021/acsanm.0c03273</t>
  </si>
  <si>
    <t>Cs2SnCl6</t>
  </si>
  <si>
    <t>10.1021/acs.jpclett.9b03035</t>
  </si>
  <si>
    <t>10.3389/felec.2021.703182</t>
  </si>
  <si>
    <t>Cs2SnI6</t>
  </si>
  <si>
    <t>hexylamine</t>
  </si>
  <si>
    <t>K3SbCl6</t>
  </si>
  <si>
    <t>10.1016/j.cej.2020.127415</t>
  </si>
  <si>
    <t>10.1088/1361-6528/ab13f6</t>
  </si>
  <si>
    <t>DFT</t>
  </si>
  <si>
    <t>10.1016/j.cplett.2021.139023</t>
  </si>
  <si>
    <t>Cs3InCl6</t>
  </si>
  <si>
    <t>10.1002/adom.202101344</t>
  </si>
  <si>
    <t>Rb3InCl6</t>
  </si>
  <si>
    <t>10.3389/fchem.2020.00035</t>
  </si>
  <si>
    <t>Cs4SnBr6</t>
  </si>
  <si>
    <t>10.1021/acs.jpclett.9b03685</t>
  </si>
  <si>
    <t>10.1021/acs.jpclett.1c02542</t>
  </si>
  <si>
    <t>Cs2ZrCl6</t>
  </si>
  <si>
    <t>10.1002/anie.202009101</t>
  </si>
  <si>
    <t>10.1021/acs.chemmater.6b01329</t>
  </si>
  <si>
    <t>Cs2TiBr6</t>
  </si>
  <si>
    <t>10.1039/d1tc01732b</t>
  </si>
  <si>
    <t>Cs4SnI6</t>
  </si>
  <si>
    <t>10.1039/c9cc08216f</t>
  </si>
  <si>
    <t>titanium_di_isopropoxide_bis(acetylacetonate)</t>
  </si>
  <si>
    <t>10.3390/nano11061458</t>
  </si>
  <si>
    <t>Cs2TiCl6</t>
  </si>
  <si>
    <t>Cs3BiBr6</t>
  </si>
  <si>
    <t>10.1039/c9ra10106c</t>
  </si>
  <si>
    <t>Cs3Cu2I5</t>
  </si>
  <si>
    <t>10.21203/rs.3.rs-798495/v1</t>
  </si>
  <si>
    <t>10.1002/advs.202000195</t>
  </si>
  <si>
    <t>Cs3Cu2Cl5</t>
  </si>
  <si>
    <t>Cs3Cu2Br5</t>
  </si>
  <si>
    <t>10.1039/d1qm00481f</t>
  </si>
  <si>
    <t>Cs2Cu3Br5</t>
  </si>
  <si>
    <t>hexanoic_acid</t>
  </si>
  <si>
    <t>10.1021/acsanm.1c01642</t>
  </si>
  <si>
    <t>nonylamine</t>
  </si>
  <si>
    <t>nonanoic_acid</t>
  </si>
  <si>
    <t>10.1021/acs.chemmater.9b03250</t>
  </si>
  <si>
    <t>Cs3MnBr5</t>
  </si>
  <si>
    <t>10.1021/acssuschemeng.0c07911</t>
  </si>
  <si>
    <t>CsSnI3</t>
  </si>
  <si>
    <t>10.1021/jacs.1c01049</t>
  </si>
  <si>
    <t>CsGeI3</t>
  </si>
  <si>
    <t>10.1002/asia.201800573</t>
  </si>
  <si>
    <t>CsYbI3</t>
  </si>
  <si>
    <t>10.1002/adma.201901716</t>
  </si>
  <si>
    <t>CsCdCl3</t>
  </si>
  <si>
    <t>10.1021/acs.inorgchem.0c01574</t>
  </si>
  <si>
    <t>CsSnCl3</t>
  </si>
  <si>
    <t>10.1039/d1cp02666f</t>
  </si>
  <si>
    <t>CsSnBr3</t>
  </si>
  <si>
    <t>10.1039/d0ra06139e</t>
  </si>
  <si>
    <t>CsEuCl3</t>
  </si>
  <si>
    <t>10.1021/acs.nanolett.0c00692</t>
  </si>
  <si>
    <t>10.1016/j.jhazmat.2020.123967</t>
  </si>
  <si>
    <t>10.1021/acsenergylett.1c00413</t>
  </si>
  <si>
    <t>10.1002/ange.202011569</t>
  </si>
  <si>
    <t>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</si>
</sst>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"/>
    <numFmt numFmtId="166" formatCode="0.00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31F20"/>
      <name val="Arial"/>
      <family val="2"/>
    </font>
    <font>
      <sz val="9"/>
      <color rgb="FF231F20"/>
      <name val="Jmtir"/>
      <charset val="134"/>
    </font>
    <font>
      <sz val="10"/>
      <color rgb="FF000000"/>
      <name val="EB Garamond"/>
    </font>
    <font>
      <sz val="9"/>
      <color rgb="FF000000"/>
      <name val="Advot2e364b11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sz val="11"/>
      <color rgb="FF231F20"/>
      <name val="Arial"/>
      <charset val="134"/>
    </font>
    <font>
      <sz val="10"/>
      <color rgb="FF000000"/>
      <name val="MinionPro"/>
      <charset val="134"/>
    </font>
    <font>
      <sz val="8"/>
      <color rgb="FF000000"/>
      <name val="MinionPro"/>
      <charset val="134"/>
    </font>
    <font>
      <sz val="10"/>
      <color rgb="FF000000"/>
      <name val="EB Garamond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6" fontId="0" fillId="0" borderId="0" xfId="0" applyNumberFormat="1"/>
    <xf numFmtId="164" fontId="3" fillId="2" borderId="0" xfId="0" applyNumberFormat="1" applyFont="1" applyFill="1"/>
    <xf numFmtId="1" fontId="0" fillId="0" borderId="0" xfId="0" applyNumberForma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164" fontId="10" fillId="0" borderId="0" xfId="0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0" fillId="0" borderId="0" xfId="0" applyFont="1"/>
    <xf numFmtId="0" fontId="11" fillId="0" borderId="0" xfId="0" applyFont="1"/>
    <xf numFmtId="164" fontId="13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1845-1670-4446-8F42-E9C922485EEE}">
  <dimension ref="A1:AF997"/>
  <sheetViews>
    <sheetView tabSelected="1" topLeftCell="S1" workbookViewId="0">
      <selection activeCell="AE2" sqref="AE2"/>
    </sheetView>
  </sheetViews>
  <sheetFormatPr defaultColWidth="14" defaultRowHeight="14.4"/>
  <cols>
    <col min="1" max="1" width="16.21875" customWidth="1"/>
    <col min="2" max="2" width="20.77734375" customWidth="1"/>
    <col min="3" max="3" width="23.33203125" customWidth="1"/>
    <col min="4" max="4" width="14.44140625" customWidth="1"/>
    <col min="5" max="5" width="10.21875" customWidth="1"/>
    <col min="6" max="6" width="21.77734375" customWidth="1"/>
    <col min="7" max="7" width="16" customWidth="1"/>
    <col min="8" max="8" width="23.44140625" customWidth="1"/>
    <col min="9" max="9" width="16.88671875" customWidth="1"/>
    <col min="10" max="10" width="42.21875" customWidth="1"/>
    <col min="11" max="11" width="17" bestFit="1" customWidth="1"/>
    <col min="12" max="12" width="24.6640625" customWidth="1"/>
    <col min="13" max="13" width="15.77734375" customWidth="1"/>
    <col min="14" max="14" width="19.109375" customWidth="1"/>
    <col min="15" max="15" width="24.109375" customWidth="1"/>
    <col min="16" max="16" width="10.6640625" customWidth="1"/>
    <col min="17" max="17" width="20.21875" customWidth="1"/>
    <col min="18" max="18" width="15.21875" customWidth="1"/>
    <col min="19" max="19" width="28.44140625" customWidth="1"/>
    <col min="20" max="20" width="13.88671875" customWidth="1"/>
    <col min="21" max="21" width="14.6640625" customWidth="1"/>
    <col min="22" max="22" width="23.5546875" customWidth="1"/>
    <col min="23" max="23" width="11.6640625" customWidth="1"/>
    <col min="24" max="24" width="14.33203125" customWidth="1"/>
    <col min="25" max="25" width="12.88671875" customWidth="1"/>
    <col min="26" max="26" width="15.109375" customWidth="1"/>
    <col min="27" max="27" width="13.77734375" customWidth="1"/>
    <col min="28" max="28" width="12.88671875" customWidth="1"/>
    <col min="29" max="29" width="14.33203125" customWidth="1"/>
    <col min="30" max="30" width="36" customWidth="1"/>
    <col min="31" max="32" width="10" customWidth="1"/>
  </cols>
  <sheetData>
    <row r="1" spans="1:31" ht="13.5" customHeight="1">
      <c r="A1" t="s">
        <v>90</v>
      </c>
      <c r="B1" t="s">
        <v>91</v>
      </c>
      <c r="C1" t="s">
        <v>92</v>
      </c>
      <c r="D1" t="s">
        <v>1</v>
      </c>
      <c r="E1" t="s">
        <v>93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94</v>
      </c>
      <c r="O1" t="s">
        <v>95</v>
      </c>
      <c r="P1" t="s">
        <v>96</v>
      </c>
      <c r="Q1" t="s">
        <v>10</v>
      </c>
      <c r="R1" t="s">
        <v>97</v>
      </c>
      <c r="S1" t="s">
        <v>11</v>
      </c>
      <c r="T1" t="s">
        <v>98</v>
      </c>
      <c r="U1" t="s">
        <v>12</v>
      </c>
      <c r="V1" t="s">
        <v>99</v>
      </c>
      <c r="W1" t="s">
        <v>100</v>
      </c>
      <c r="X1" t="s">
        <v>15</v>
      </c>
      <c r="Y1" t="s">
        <v>16</v>
      </c>
      <c r="Z1" t="s">
        <v>101</v>
      </c>
      <c r="AA1" t="s">
        <v>17</v>
      </c>
      <c r="AB1" t="s">
        <v>18</v>
      </c>
      <c r="AC1" t="s">
        <v>102</v>
      </c>
      <c r="AD1" s="21" t="s">
        <v>103</v>
      </c>
      <c r="AE1" t="s">
        <v>270</v>
      </c>
    </row>
    <row r="2" spans="1:31" ht="13.5" customHeight="1">
      <c r="A2" s="22" t="s">
        <v>104</v>
      </c>
      <c r="B2" s="1">
        <v>1.0132908825547</v>
      </c>
      <c r="C2" s="1">
        <v>4.09916438142701</v>
      </c>
      <c r="D2" s="15">
        <f>165+273.15</f>
        <v>438.15</v>
      </c>
      <c r="E2" s="15">
        <f>170+273.15</f>
        <v>443.15</v>
      </c>
      <c r="F2" s="22" t="s">
        <v>19</v>
      </c>
      <c r="G2" s="1">
        <v>0.65</v>
      </c>
      <c r="H2" s="22" t="s">
        <v>20</v>
      </c>
      <c r="I2" s="1">
        <v>0.22</v>
      </c>
      <c r="J2" s="22" t="s">
        <v>21</v>
      </c>
      <c r="K2" s="1">
        <v>0.5</v>
      </c>
      <c r="L2" s="22" t="s">
        <v>22</v>
      </c>
      <c r="M2" s="1">
        <v>3.15</v>
      </c>
      <c r="N2" s="22">
        <v>0</v>
      </c>
      <c r="O2" s="1">
        <v>0</v>
      </c>
      <c r="P2" s="22" t="s">
        <v>105</v>
      </c>
      <c r="Q2" s="1">
        <v>1.98</v>
      </c>
      <c r="R2" s="22" t="s">
        <v>60</v>
      </c>
      <c r="S2" s="1">
        <v>9.19</v>
      </c>
      <c r="T2" s="22" t="s">
        <v>106</v>
      </c>
      <c r="U2" s="1">
        <v>10</v>
      </c>
      <c r="V2" s="22">
        <v>0</v>
      </c>
      <c r="W2" s="1">
        <v>0</v>
      </c>
      <c r="X2" s="4">
        <f t="shared" ref="X2:X65" si="0">U2+W2</f>
        <v>10</v>
      </c>
      <c r="Y2" s="1">
        <v>1.66</v>
      </c>
      <c r="Z2" s="1" t="s">
        <v>107</v>
      </c>
      <c r="AA2" s="1">
        <f t="shared" ref="AA2:AA3" si="1">1/60</f>
        <v>1.6666666666666666E-2</v>
      </c>
      <c r="AB2" s="1">
        <v>22.8</v>
      </c>
      <c r="AC2" s="22" t="s">
        <v>108</v>
      </c>
      <c r="AD2" t="s">
        <v>109</v>
      </c>
      <c r="AE2">
        <v>1</v>
      </c>
    </row>
    <row r="3" spans="1:31" ht="13.5" customHeight="1">
      <c r="A3" s="22" t="s">
        <v>110</v>
      </c>
      <c r="B3" s="1">
        <v>0.94366149098674901</v>
      </c>
      <c r="C3" s="1">
        <v>3.80174109782548</v>
      </c>
      <c r="D3" s="15">
        <f t="shared" ref="D3:E3" si="2">170+273.15</f>
        <v>443.15</v>
      </c>
      <c r="E3" s="15">
        <f t="shared" si="2"/>
        <v>443.15</v>
      </c>
      <c r="F3" s="22" t="s">
        <v>19</v>
      </c>
      <c r="G3" s="1">
        <v>0.65</v>
      </c>
      <c r="H3" s="22" t="s">
        <v>23</v>
      </c>
      <c r="I3" s="1">
        <v>0.45</v>
      </c>
      <c r="J3" s="22" t="s">
        <v>21</v>
      </c>
      <c r="K3" s="1">
        <v>0.5</v>
      </c>
      <c r="L3" s="22" t="s">
        <v>22</v>
      </c>
      <c r="M3" s="1">
        <v>3.15</v>
      </c>
      <c r="N3" s="22">
        <v>0</v>
      </c>
      <c r="O3" s="1">
        <v>0</v>
      </c>
      <c r="P3" s="22" t="s">
        <v>105</v>
      </c>
      <c r="Q3" s="1">
        <v>2</v>
      </c>
      <c r="R3" s="22" t="s">
        <v>60</v>
      </c>
      <c r="S3" s="1">
        <v>7.92</v>
      </c>
      <c r="T3" s="22" t="s">
        <v>106</v>
      </c>
      <c r="U3" s="1">
        <v>10</v>
      </c>
      <c r="V3" s="22">
        <v>0</v>
      </c>
      <c r="W3" s="1">
        <v>0</v>
      </c>
      <c r="X3" s="4">
        <f t="shared" si="0"/>
        <v>10</v>
      </c>
      <c r="Y3" s="1">
        <v>3.1</v>
      </c>
      <c r="Z3" s="1" t="s">
        <v>107</v>
      </c>
      <c r="AA3" s="1">
        <f t="shared" si="1"/>
        <v>1.6666666666666666E-2</v>
      </c>
      <c r="AB3" s="1">
        <v>12.2</v>
      </c>
      <c r="AC3" s="22" t="s">
        <v>108</v>
      </c>
      <c r="AD3" t="s">
        <v>109</v>
      </c>
      <c r="AE3">
        <v>1</v>
      </c>
    </row>
    <row r="4" spans="1:31" ht="13.5" customHeight="1">
      <c r="A4" t="s">
        <v>111</v>
      </c>
      <c r="B4" s="1">
        <v>0.95692812563998497</v>
      </c>
      <c r="C4" s="1">
        <v>3.7931079634195402</v>
      </c>
      <c r="D4" s="15">
        <f t="shared" ref="D4:E4" si="3">220+273.15</f>
        <v>493.15</v>
      </c>
      <c r="E4" s="15">
        <f t="shared" si="3"/>
        <v>493.15</v>
      </c>
      <c r="F4" t="s">
        <v>24</v>
      </c>
      <c r="G4" s="1">
        <v>0.16</v>
      </c>
      <c r="H4" t="s">
        <v>25</v>
      </c>
      <c r="I4" s="1">
        <v>0.36</v>
      </c>
      <c r="J4" t="s">
        <v>26</v>
      </c>
      <c r="K4" s="1">
        <v>0.36</v>
      </c>
      <c r="L4" t="s">
        <v>27</v>
      </c>
      <c r="M4" s="1">
        <v>0</v>
      </c>
      <c r="N4">
        <v>0</v>
      </c>
      <c r="O4" s="1">
        <v>0</v>
      </c>
      <c r="P4" t="s">
        <v>105</v>
      </c>
      <c r="Q4" s="1">
        <v>3.04</v>
      </c>
      <c r="R4" s="22" t="s">
        <v>60</v>
      </c>
      <c r="S4" s="1">
        <v>3.68</v>
      </c>
      <c r="T4" t="s">
        <v>106</v>
      </c>
      <c r="U4" s="1">
        <v>14.64</v>
      </c>
      <c r="V4" t="s">
        <v>28</v>
      </c>
      <c r="W4" s="1">
        <v>0.42</v>
      </c>
      <c r="X4" s="4">
        <f t="shared" si="0"/>
        <v>15.06</v>
      </c>
      <c r="Y4" s="1">
        <v>3.6</v>
      </c>
      <c r="Z4" s="1" t="s">
        <v>107</v>
      </c>
      <c r="AA4" s="1">
        <v>5</v>
      </c>
      <c r="AB4" s="1">
        <v>22.8</v>
      </c>
      <c r="AC4" t="s">
        <v>108</v>
      </c>
      <c r="AD4" t="s">
        <v>112</v>
      </c>
      <c r="AE4">
        <v>2</v>
      </c>
    </row>
    <row r="5" spans="1:31" ht="13.5" customHeight="1">
      <c r="A5" t="s">
        <v>113</v>
      </c>
      <c r="B5" s="1">
        <v>0.89613532665225804</v>
      </c>
      <c r="C5" s="1">
        <v>3.79</v>
      </c>
      <c r="D5" s="15">
        <f t="shared" ref="D5:E5" si="4">273.15+140</f>
        <v>413.15</v>
      </c>
      <c r="E5" s="15">
        <f t="shared" si="4"/>
        <v>413.15</v>
      </c>
      <c r="F5" t="s">
        <v>24</v>
      </c>
      <c r="G5" s="1">
        <v>0.15</v>
      </c>
      <c r="H5" t="s">
        <v>25</v>
      </c>
      <c r="I5" s="1">
        <v>0.3</v>
      </c>
      <c r="J5" t="s">
        <v>29</v>
      </c>
      <c r="K5" s="1">
        <v>0.3</v>
      </c>
      <c r="L5" t="s">
        <v>30</v>
      </c>
      <c r="M5" s="1">
        <v>2.54</v>
      </c>
      <c r="N5" t="s">
        <v>114</v>
      </c>
      <c r="O5" s="1">
        <v>0.3</v>
      </c>
      <c r="P5" t="s">
        <v>105</v>
      </c>
      <c r="Q5" s="1">
        <v>0.73</v>
      </c>
      <c r="R5" s="22" t="s">
        <v>60</v>
      </c>
      <c r="S5" s="1">
        <v>1.58</v>
      </c>
      <c r="T5" t="s">
        <v>106</v>
      </c>
      <c r="U5" s="1">
        <v>10</v>
      </c>
      <c r="V5">
        <v>0</v>
      </c>
      <c r="W5" s="1">
        <v>0</v>
      </c>
      <c r="X5" s="4">
        <f t="shared" si="0"/>
        <v>10</v>
      </c>
      <c r="Y5" s="1">
        <v>2.2799999999999998</v>
      </c>
      <c r="Z5" s="1" t="s">
        <v>107</v>
      </c>
      <c r="AA5" s="1">
        <f>5/60</f>
        <v>8.3333333333333329E-2</v>
      </c>
      <c r="AB5" s="1">
        <v>7.6</v>
      </c>
      <c r="AC5" t="s">
        <v>108</v>
      </c>
      <c r="AD5" t="s">
        <v>115</v>
      </c>
      <c r="AE5">
        <v>3</v>
      </c>
    </row>
    <row r="6" spans="1:31" ht="13.5" customHeight="1">
      <c r="A6" t="s">
        <v>116</v>
      </c>
      <c r="B6" s="1">
        <v>0.97238162332112799</v>
      </c>
      <c r="C6" s="1">
        <v>3.8362877498517798</v>
      </c>
      <c r="D6" s="15">
        <f>165+273.15</f>
        <v>438.15</v>
      </c>
      <c r="E6" s="15">
        <f>175+273.15</f>
        <v>448.15</v>
      </c>
      <c r="F6" s="22" t="s">
        <v>19</v>
      </c>
      <c r="G6" s="1">
        <v>0.65</v>
      </c>
      <c r="H6" s="22" t="s">
        <v>31</v>
      </c>
      <c r="I6" s="1">
        <v>0.45</v>
      </c>
      <c r="J6" s="22" t="s">
        <v>32</v>
      </c>
      <c r="K6" s="1">
        <v>0.5</v>
      </c>
      <c r="L6" s="22" t="s">
        <v>22</v>
      </c>
      <c r="M6" s="1">
        <v>3.15</v>
      </c>
      <c r="N6" s="22">
        <v>0</v>
      </c>
      <c r="O6" s="1">
        <v>0</v>
      </c>
      <c r="P6" s="22" t="s">
        <v>105</v>
      </c>
      <c r="Q6" s="1">
        <v>2.13</v>
      </c>
      <c r="R6" s="22" t="s">
        <v>60</v>
      </c>
      <c r="S6" s="1">
        <v>8.8699999999999992</v>
      </c>
      <c r="T6" s="22" t="s">
        <v>106</v>
      </c>
      <c r="U6" s="1">
        <v>10</v>
      </c>
      <c r="V6" s="22">
        <v>0</v>
      </c>
      <c r="W6" s="1">
        <v>0</v>
      </c>
      <c r="X6" s="4">
        <f t="shared" si="0"/>
        <v>10</v>
      </c>
      <c r="Y6" s="1">
        <v>4.55</v>
      </c>
      <c r="Z6" s="1" t="s">
        <v>107</v>
      </c>
      <c r="AA6" s="1">
        <f t="shared" ref="AA6:AA8" si="5">1/60</f>
        <v>1.6666666666666666E-2</v>
      </c>
      <c r="AB6" s="1">
        <v>12.5</v>
      </c>
      <c r="AC6" s="22" t="s">
        <v>108</v>
      </c>
      <c r="AD6" t="s">
        <v>117</v>
      </c>
      <c r="AE6">
        <v>4</v>
      </c>
    </row>
    <row r="7" spans="1:31" ht="13.5" customHeight="1">
      <c r="A7" t="s">
        <v>111</v>
      </c>
      <c r="B7" s="1">
        <v>0.93688474778397102</v>
      </c>
      <c r="C7" s="1">
        <v>3.7931079634195402</v>
      </c>
      <c r="D7" s="15">
        <f t="shared" ref="D7:E8" si="6">100+273.15</f>
        <v>373.15</v>
      </c>
      <c r="E7" s="15">
        <f t="shared" si="6"/>
        <v>373.15</v>
      </c>
      <c r="F7" s="22" t="s">
        <v>19</v>
      </c>
      <c r="G7" s="1">
        <v>2.5000000000000001E-2</v>
      </c>
      <c r="H7" s="22" t="s">
        <v>23</v>
      </c>
      <c r="I7" s="1">
        <v>0.05</v>
      </c>
      <c r="J7" s="22" t="s">
        <v>32</v>
      </c>
      <c r="K7" s="1">
        <v>0.05</v>
      </c>
      <c r="L7" s="22" t="s">
        <v>33</v>
      </c>
      <c r="M7" s="1">
        <v>0.3</v>
      </c>
      <c r="N7" s="22">
        <v>0</v>
      </c>
      <c r="O7" s="1">
        <v>0</v>
      </c>
      <c r="P7" s="22" t="s">
        <v>105</v>
      </c>
      <c r="Q7" s="1">
        <v>0.2</v>
      </c>
      <c r="R7" s="22" t="s">
        <v>60</v>
      </c>
      <c r="S7" s="1">
        <v>0.8</v>
      </c>
      <c r="T7" s="22" t="s">
        <v>118</v>
      </c>
      <c r="U7" s="1">
        <v>1</v>
      </c>
      <c r="V7" s="22">
        <v>0</v>
      </c>
      <c r="W7" s="1">
        <v>0</v>
      </c>
      <c r="X7" s="4">
        <f t="shared" si="0"/>
        <v>1</v>
      </c>
      <c r="Y7" s="1">
        <v>4.1500000000000004</v>
      </c>
      <c r="Z7" s="1" t="s">
        <v>107</v>
      </c>
      <c r="AA7" s="1">
        <f t="shared" si="5"/>
        <v>1.6666666666666666E-2</v>
      </c>
      <c r="AB7" s="1">
        <v>8.9</v>
      </c>
      <c r="AC7" s="22" t="s">
        <v>108</v>
      </c>
      <c r="AD7" t="s">
        <v>119</v>
      </c>
      <c r="AE7">
        <v>5</v>
      </c>
    </row>
    <row r="8" spans="1:31" ht="13.5" customHeight="1">
      <c r="A8" s="22" t="s">
        <v>110</v>
      </c>
      <c r="B8" s="1">
        <v>0.94366149098674901</v>
      </c>
      <c r="C8" s="1">
        <v>3.80174109782548</v>
      </c>
      <c r="D8" s="15">
        <f t="shared" si="6"/>
        <v>373.15</v>
      </c>
      <c r="E8" s="15">
        <f t="shared" si="6"/>
        <v>373.15</v>
      </c>
      <c r="F8" s="22" t="s">
        <v>19</v>
      </c>
      <c r="G8" s="1">
        <v>2.5000000000000001E-2</v>
      </c>
      <c r="H8" s="22" t="s">
        <v>23</v>
      </c>
      <c r="I8" s="1">
        <v>0.02</v>
      </c>
      <c r="J8" s="22" t="s">
        <v>21</v>
      </c>
      <c r="K8" s="1">
        <v>0.05</v>
      </c>
      <c r="L8" s="22" t="s">
        <v>120</v>
      </c>
      <c r="M8" s="1">
        <v>0.6</v>
      </c>
      <c r="N8" s="22">
        <v>0</v>
      </c>
      <c r="O8" s="1">
        <v>0</v>
      </c>
      <c r="P8" s="22" t="s">
        <v>105</v>
      </c>
      <c r="Q8" s="1">
        <v>0.2</v>
      </c>
      <c r="R8" s="22" t="s">
        <v>60</v>
      </c>
      <c r="S8" s="1">
        <v>1.3</v>
      </c>
      <c r="T8" s="22" t="s">
        <v>118</v>
      </c>
      <c r="U8" s="1">
        <v>1</v>
      </c>
      <c r="V8" s="22">
        <v>0</v>
      </c>
      <c r="W8" s="1">
        <v>0</v>
      </c>
      <c r="X8" s="4">
        <f t="shared" si="0"/>
        <v>1</v>
      </c>
      <c r="Y8" s="1">
        <v>2.83</v>
      </c>
      <c r="Z8" s="1" t="s">
        <v>107</v>
      </c>
      <c r="AA8" s="1">
        <f t="shared" si="5"/>
        <v>1.6666666666666666E-2</v>
      </c>
      <c r="AB8" s="1">
        <v>8.3000000000000007</v>
      </c>
      <c r="AC8" s="22" t="s">
        <v>108</v>
      </c>
      <c r="AD8" t="s">
        <v>119</v>
      </c>
      <c r="AE8">
        <v>5</v>
      </c>
    </row>
    <row r="9" spans="1:31" ht="13.5" customHeight="1">
      <c r="A9" t="s">
        <v>111</v>
      </c>
      <c r="B9" s="1">
        <v>0.95692812563998497</v>
      </c>
      <c r="C9" s="1">
        <v>3.7931079634195402</v>
      </c>
      <c r="D9" s="15">
        <f t="shared" ref="D9:E9" si="7">200+273.15</f>
        <v>473.15</v>
      </c>
      <c r="E9" s="15">
        <f t="shared" si="7"/>
        <v>473.15</v>
      </c>
      <c r="F9" t="s">
        <v>24</v>
      </c>
      <c r="G9" s="1">
        <v>0.1</v>
      </c>
      <c r="H9" s="22" t="s">
        <v>23</v>
      </c>
      <c r="I9" s="1">
        <v>0.05</v>
      </c>
      <c r="J9" s="22" t="s">
        <v>32</v>
      </c>
      <c r="K9" s="1">
        <v>0.2</v>
      </c>
      <c r="L9" t="s">
        <v>22</v>
      </c>
      <c r="M9" s="1">
        <v>3.55</v>
      </c>
      <c r="N9">
        <v>0</v>
      </c>
      <c r="O9" s="1">
        <v>0</v>
      </c>
      <c r="P9" t="s">
        <v>105</v>
      </c>
      <c r="Q9" s="1">
        <v>0.7</v>
      </c>
      <c r="R9" s="22" t="s">
        <v>60</v>
      </c>
      <c r="S9" s="1">
        <v>15.84</v>
      </c>
      <c r="T9" t="s">
        <v>106</v>
      </c>
      <c r="U9" s="1">
        <v>6.13</v>
      </c>
      <c r="V9">
        <v>0</v>
      </c>
      <c r="W9" s="1">
        <v>0</v>
      </c>
      <c r="X9" s="4">
        <f t="shared" si="0"/>
        <v>6.13</v>
      </c>
      <c r="Y9" s="1">
        <v>3.33</v>
      </c>
      <c r="Z9" s="1" t="s">
        <v>107</v>
      </c>
      <c r="AA9" s="1">
        <v>2</v>
      </c>
      <c r="AB9" s="1">
        <v>10.6</v>
      </c>
      <c r="AC9" t="s">
        <v>108</v>
      </c>
      <c r="AD9" t="s">
        <v>121</v>
      </c>
      <c r="AE9">
        <v>6</v>
      </c>
    </row>
    <row r="10" spans="1:31" ht="13.5" customHeight="1">
      <c r="A10" t="s">
        <v>111</v>
      </c>
      <c r="B10" s="1">
        <v>0.95692812563998497</v>
      </c>
      <c r="C10" s="1">
        <v>3.7931079634195402</v>
      </c>
      <c r="D10" s="15">
        <f t="shared" ref="D10:E10" si="8">180+273.15</f>
        <v>453.15</v>
      </c>
      <c r="E10" s="15">
        <f t="shared" si="8"/>
        <v>453.15</v>
      </c>
      <c r="F10" t="s">
        <v>24</v>
      </c>
      <c r="G10" s="1">
        <v>0.5</v>
      </c>
      <c r="H10" s="22" t="s">
        <v>23</v>
      </c>
      <c r="I10" s="1">
        <v>0.5</v>
      </c>
      <c r="J10" s="22" t="s">
        <v>32</v>
      </c>
      <c r="K10" s="1">
        <v>0.55000000000000004</v>
      </c>
      <c r="L10" t="s">
        <v>22</v>
      </c>
      <c r="M10" s="1">
        <v>4.7</v>
      </c>
      <c r="N10">
        <v>0</v>
      </c>
      <c r="O10" s="1">
        <v>0</v>
      </c>
      <c r="P10" t="s">
        <v>105</v>
      </c>
      <c r="Q10" s="1">
        <v>1.52</v>
      </c>
      <c r="R10" s="22" t="s">
        <v>60</v>
      </c>
      <c r="S10" s="1">
        <v>3.17</v>
      </c>
      <c r="T10" t="s">
        <v>106</v>
      </c>
      <c r="U10" s="1">
        <v>10</v>
      </c>
      <c r="V10">
        <v>0</v>
      </c>
      <c r="W10" s="1">
        <v>0</v>
      </c>
      <c r="X10" s="4">
        <f t="shared" si="0"/>
        <v>10</v>
      </c>
      <c r="Y10" s="1">
        <v>4.8</v>
      </c>
      <c r="Z10" s="1" t="s">
        <v>107</v>
      </c>
      <c r="AA10" s="1">
        <f t="shared" ref="AA10:AA11" si="9">30/60</f>
        <v>0.5</v>
      </c>
      <c r="AB10" s="1">
        <v>12.4</v>
      </c>
      <c r="AC10" t="s">
        <v>108</v>
      </c>
      <c r="AD10" t="s">
        <v>122</v>
      </c>
      <c r="AE10">
        <v>7</v>
      </c>
    </row>
    <row r="11" spans="1:31" ht="13.5" customHeight="1">
      <c r="A11" t="s">
        <v>113</v>
      </c>
      <c r="B11" s="1">
        <v>0.89613532665225804</v>
      </c>
      <c r="C11" s="1">
        <v>3.9623356974945101</v>
      </c>
      <c r="D11" s="15">
        <f t="shared" ref="D11:E11" si="10">145+273.15</f>
        <v>418.15</v>
      </c>
      <c r="E11" s="15">
        <f t="shared" si="10"/>
        <v>418.15</v>
      </c>
      <c r="F11" s="22" t="s">
        <v>19</v>
      </c>
      <c r="G11" s="1">
        <v>0.7</v>
      </c>
      <c r="H11" s="22" t="s">
        <v>23</v>
      </c>
      <c r="I11" s="1">
        <v>0.5</v>
      </c>
      <c r="J11" t="s">
        <v>35</v>
      </c>
      <c r="K11" s="1">
        <v>0.5</v>
      </c>
      <c r="L11" t="s">
        <v>36</v>
      </c>
      <c r="M11" s="1">
        <v>1.5</v>
      </c>
      <c r="N11">
        <v>0</v>
      </c>
      <c r="O11" s="1">
        <v>0</v>
      </c>
      <c r="P11" t="s">
        <v>105</v>
      </c>
      <c r="Q11" s="1">
        <v>1.1200000000000001</v>
      </c>
      <c r="R11" s="22" t="s">
        <v>60</v>
      </c>
      <c r="S11" s="1">
        <v>4.75</v>
      </c>
      <c r="T11" t="s">
        <v>106</v>
      </c>
      <c r="U11" s="1">
        <v>6</v>
      </c>
      <c r="V11">
        <v>0</v>
      </c>
      <c r="W11" s="1">
        <v>0</v>
      </c>
      <c r="X11" s="4">
        <f t="shared" si="0"/>
        <v>6</v>
      </c>
      <c r="Y11" s="1">
        <v>1.91</v>
      </c>
      <c r="Z11" s="1" t="s">
        <v>107</v>
      </c>
      <c r="AA11" s="1">
        <f t="shared" si="9"/>
        <v>0.5</v>
      </c>
      <c r="AB11" s="1">
        <v>8.9</v>
      </c>
      <c r="AC11" t="s">
        <v>108</v>
      </c>
      <c r="AD11" t="s">
        <v>123</v>
      </c>
      <c r="AE11">
        <v>8</v>
      </c>
    </row>
    <row r="12" spans="1:31" ht="13.5" customHeight="1">
      <c r="A12" s="23" t="s">
        <v>113</v>
      </c>
      <c r="B12" s="24">
        <v>0.89025902942830903</v>
      </c>
      <c r="C12" s="24">
        <v>3.9623356974945101</v>
      </c>
      <c r="D12" s="15">
        <f>25+273.15</f>
        <v>298.14999999999998</v>
      </c>
      <c r="E12" s="15">
        <f>230+273.15</f>
        <v>503.15</v>
      </c>
      <c r="F12" t="s">
        <v>24</v>
      </c>
      <c r="G12" s="1">
        <v>0.09</v>
      </c>
      <c r="H12" t="s">
        <v>25</v>
      </c>
      <c r="I12" s="24">
        <v>0.2</v>
      </c>
      <c r="J12" s="23" t="s">
        <v>37</v>
      </c>
      <c r="K12" s="24">
        <v>0.2</v>
      </c>
      <c r="L12" t="s">
        <v>27</v>
      </c>
      <c r="M12" s="1">
        <v>0</v>
      </c>
      <c r="N12">
        <v>0</v>
      </c>
      <c r="O12" s="1">
        <v>0</v>
      </c>
      <c r="P12" t="s">
        <v>105</v>
      </c>
      <c r="Q12" s="1">
        <v>6.08</v>
      </c>
      <c r="R12" s="22" t="s">
        <v>60</v>
      </c>
      <c r="S12" s="1">
        <v>6.34</v>
      </c>
      <c r="T12" t="s">
        <v>106</v>
      </c>
      <c r="U12" s="1">
        <v>8</v>
      </c>
      <c r="V12" t="s">
        <v>38</v>
      </c>
      <c r="W12" s="1">
        <v>0.2</v>
      </c>
      <c r="X12" s="4">
        <f t="shared" si="0"/>
        <v>8.1999999999999993</v>
      </c>
      <c r="Y12" s="1">
        <v>2.52</v>
      </c>
      <c r="Z12" s="1" t="s">
        <v>107</v>
      </c>
      <c r="AA12" s="1">
        <f>5/60</f>
        <v>8.3333333333333329E-2</v>
      </c>
      <c r="AB12" s="1">
        <v>16.3</v>
      </c>
      <c r="AC12" t="s">
        <v>108</v>
      </c>
      <c r="AD12" t="s">
        <v>124</v>
      </c>
      <c r="AE12">
        <v>9</v>
      </c>
    </row>
    <row r="13" spans="1:31" ht="13.5" customHeight="1">
      <c r="A13" s="23" t="s">
        <v>125</v>
      </c>
      <c r="B13" s="24">
        <v>0.92036120725868098</v>
      </c>
      <c r="C13" s="24">
        <v>3.78960793424887</v>
      </c>
      <c r="D13" s="15">
        <f t="shared" ref="D13:E13" si="11">230+273.15</f>
        <v>503.15</v>
      </c>
      <c r="E13" s="15">
        <f t="shared" si="11"/>
        <v>503.15</v>
      </c>
      <c r="F13" s="22" t="s">
        <v>19</v>
      </c>
      <c r="G13" s="1">
        <v>0.36</v>
      </c>
      <c r="H13" s="23" t="s">
        <v>31</v>
      </c>
      <c r="I13" s="1">
        <v>0.18</v>
      </c>
      <c r="J13" t="s">
        <v>35</v>
      </c>
      <c r="K13" s="1">
        <v>0.18</v>
      </c>
      <c r="L13" t="s">
        <v>22</v>
      </c>
      <c r="M13" s="1">
        <v>1.97</v>
      </c>
      <c r="N13">
        <v>0</v>
      </c>
      <c r="O13" s="1">
        <v>0</v>
      </c>
      <c r="P13" t="s">
        <v>105</v>
      </c>
      <c r="Q13" s="1">
        <v>1</v>
      </c>
      <c r="R13" s="22" t="s">
        <v>60</v>
      </c>
      <c r="S13" s="1">
        <v>3.96</v>
      </c>
      <c r="T13" t="s">
        <v>106</v>
      </c>
      <c r="U13" s="1">
        <v>5</v>
      </c>
      <c r="V13">
        <v>0</v>
      </c>
      <c r="W13" s="1">
        <v>0</v>
      </c>
      <c r="X13" s="4">
        <f t="shared" si="0"/>
        <v>5</v>
      </c>
      <c r="Y13" s="1">
        <v>3.41</v>
      </c>
      <c r="Z13" s="1" t="s">
        <v>107</v>
      </c>
      <c r="AA13" s="1">
        <f>10/60</f>
        <v>0.16666666666666666</v>
      </c>
      <c r="AB13" s="1">
        <v>15.9</v>
      </c>
      <c r="AC13" t="s">
        <v>108</v>
      </c>
      <c r="AD13" t="s">
        <v>126</v>
      </c>
      <c r="AE13">
        <v>10</v>
      </c>
    </row>
    <row r="14" spans="1:31" ht="13.5" customHeight="1">
      <c r="A14" s="23" t="s">
        <v>111</v>
      </c>
      <c r="B14" s="24">
        <v>0.95692812563998497</v>
      </c>
      <c r="C14" s="24">
        <v>3.7931079634195402</v>
      </c>
      <c r="D14" s="15">
        <f t="shared" ref="D14:E14" si="12">180+273.15</f>
        <v>453.15</v>
      </c>
      <c r="E14" s="15">
        <f t="shared" si="12"/>
        <v>453.15</v>
      </c>
      <c r="F14" t="s">
        <v>24</v>
      </c>
      <c r="G14" s="25">
        <v>0.5</v>
      </c>
      <c r="H14" t="s">
        <v>23</v>
      </c>
      <c r="I14" s="25">
        <v>0.5</v>
      </c>
      <c r="J14" s="22" t="s">
        <v>32</v>
      </c>
      <c r="K14" s="25">
        <v>0.55000000000000004</v>
      </c>
      <c r="L14" t="s">
        <v>22</v>
      </c>
      <c r="M14" s="1">
        <v>4.7</v>
      </c>
      <c r="N14">
        <v>0</v>
      </c>
      <c r="O14" s="1">
        <v>0</v>
      </c>
      <c r="P14" t="s">
        <v>105</v>
      </c>
      <c r="Q14" s="1">
        <v>1.52</v>
      </c>
      <c r="R14" s="22" t="s">
        <v>60</v>
      </c>
      <c r="S14" s="1">
        <v>3.17</v>
      </c>
      <c r="T14" t="s">
        <v>106</v>
      </c>
      <c r="U14" s="1">
        <v>10</v>
      </c>
      <c r="V14">
        <v>0</v>
      </c>
      <c r="W14" s="1">
        <v>0</v>
      </c>
      <c r="X14" s="4">
        <f t="shared" si="0"/>
        <v>10</v>
      </c>
      <c r="Y14" s="1">
        <v>4.8</v>
      </c>
      <c r="Z14" s="1" t="s">
        <v>107</v>
      </c>
      <c r="AA14" s="1">
        <f t="shared" ref="AA14:AA15" si="13">30/60</f>
        <v>0.5</v>
      </c>
      <c r="AB14" s="1">
        <v>12.4</v>
      </c>
      <c r="AC14" t="s">
        <v>108</v>
      </c>
      <c r="AD14" t="s">
        <v>122</v>
      </c>
      <c r="AE14">
        <v>11</v>
      </c>
    </row>
    <row r="15" spans="1:31" ht="13.5" customHeight="1">
      <c r="A15" s="23" t="s">
        <v>113</v>
      </c>
      <c r="B15" s="24">
        <v>0.89613532665225804</v>
      </c>
      <c r="C15" s="24">
        <v>3.9623356974945101</v>
      </c>
      <c r="D15" s="15">
        <f t="shared" ref="D15:E15" si="14">160+273.15</f>
        <v>433.15</v>
      </c>
      <c r="E15" s="15">
        <f t="shared" si="14"/>
        <v>433.15</v>
      </c>
      <c r="F15" s="22" t="s">
        <v>19</v>
      </c>
      <c r="G15" s="1">
        <v>0.71</v>
      </c>
      <c r="H15" t="s">
        <v>23</v>
      </c>
      <c r="I15" s="1">
        <v>0.5</v>
      </c>
      <c r="J15" t="s">
        <v>35</v>
      </c>
      <c r="K15" s="1">
        <v>0.5</v>
      </c>
      <c r="L15" t="s">
        <v>36</v>
      </c>
      <c r="M15" s="1">
        <v>3.79</v>
      </c>
      <c r="N15">
        <v>0</v>
      </c>
      <c r="O15" s="1">
        <v>0</v>
      </c>
      <c r="P15" t="s">
        <v>105</v>
      </c>
      <c r="Q15" s="1">
        <v>2</v>
      </c>
      <c r="R15" t="s">
        <v>60</v>
      </c>
      <c r="S15" s="1">
        <v>7.92</v>
      </c>
      <c r="T15" t="s">
        <v>106</v>
      </c>
      <c r="U15" s="1">
        <v>10</v>
      </c>
      <c r="V15">
        <v>0</v>
      </c>
      <c r="W15" s="1">
        <v>0</v>
      </c>
      <c r="X15" s="4">
        <f t="shared" si="0"/>
        <v>10</v>
      </c>
      <c r="Y15" s="1">
        <v>2.35</v>
      </c>
      <c r="Z15" s="1" t="s">
        <v>107</v>
      </c>
      <c r="AA15" s="1">
        <f t="shared" si="13"/>
        <v>0.5</v>
      </c>
      <c r="AB15" s="1">
        <v>10</v>
      </c>
      <c r="AC15" t="s">
        <v>108</v>
      </c>
      <c r="AD15" t="s">
        <v>127</v>
      </c>
      <c r="AE15">
        <v>12</v>
      </c>
    </row>
    <row r="16" spans="1:31" ht="13.5" customHeight="1">
      <c r="A16" s="23" t="s">
        <v>111</v>
      </c>
      <c r="B16" s="24">
        <v>0.95692812563998497</v>
      </c>
      <c r="C16" s="24">
        <v>3.7931079634195402</v>
      </c>
      <c r="D16" s="15">
        <f t="shared" ref="D16:E16" si="15">170+273.15</f>
        <v>443.15</v>
      </c>
      <c r="E16" s="15">
        <f t="shared" si="15"/>
        <v>443.15</v>
      </c>
      <c r="F16" t="s">
        <v>24</v>
      </c>
      <c r="G16" s="1">
        <v>0.4</v>
      </c>
      <c r="H16" t="s">
        <v>23</v>
      </c>
      <c r="I16" s="1">
        <v>0.35</v>
      </c>
      <c r="J16" s="22" t="s">
        <v>32</v>
      </c>
      <c r="K16" s="1">
        <v>0.7</v>
      </c>
      <c r="L16" t="s">
        <v>22</v>
      </c>
      <c r="M16" s="1">
        <v>14.34</v>
      </c>
      <c r="N16">
        <v>0</v>
      </c>
      <c r="O16" s="1">
        <v>0</v>
      </c>
      <c r="P16" t="s">
        <v>105</v>
      </c>
      <c r="Q16" s="1">
        <v>3.04</v>
      </c>
      <c r="R16" t="s">
        <v>60</v>
      </c>
      <c r="S16" s="1">
        <v>6.34</v>
      </c>
      <c r="T16" t="s">
        <v>106</v>
      </c>
      <c r="U16" s="1">
        <v>20</v>
      </c>
      <c r="V16" t="s">
        <v>28</v>
      </c>
      <c r="W16" s="1">
        <v>0.2</v>
      </c>
      <c r="X16" s="4">
        <f t="shared" si="0"/>
        <v>20.2</v>
      </c>
      <c r="Y16" s="1">
        <v>4.5999999999999996</v>
      </c>
      <c r="Z16" s="1" t="s">
        <v>107</v>
      </c>
      <c r="AA16" s="1">
        <v>2</v>
      </c>
      <c r="AB16" s="1">
        <v>11.6</v>
      </c>
      <c r="AC16" t="s">
        <v>108</v>
      </c>
      <c r="AD16" t="s">
        <v>128</v>
      </c>
      <c r="AE16">
        <v>13</v>
      </c>
    </row>
    <row r="17" spans="1:32" ht="13.5" customHeight="1">
      <c r="A17" t="s">
        <v>113</v>
      </c>
      <c r="B17" s="1">
        <v>0.89025902942830903</v>
      </c>
      <c r="C17" s="1">
        <v>3.9623356974945101</v>
      </c>
      <c r="D17" s="15">
        <f>25+273.15</f>
        <v>298.14999999999998</v>
      </c>
      <c r="E17" s="15">
        <f>230+273.15</f>
        <v>503.15</v>
      </c>
      <c r="F17" t="s">
        <v>24</v>
      </c>
      <c r="G17" s="1">
        <v>0.08</v>
      </c>
      <c r="H17" t="s">
        <v>25</v>
      </c>
      <c r="I17" s="1">
        <v>0.2</v>
      </c>
      <c r="J17" t="s">
        <v>37</v>
      </c>
      <c r="K17" s="1">
        <v>0.1</v>
      </c>
      <c r="L17" t="s">
        <v>27</v>
      </c>
      <c r="M17" s="1">
        <v>0</v>
      </c>
      <c r="N17">
        <v>0</v>
      </c>
      <c r="O17" s="1">
        <v>0</v>
      </c>
      <c r="P17" t="s">
        <v>105</v>
      </c>
      <c r="Q17" s="1">
        <v>3.95</v>
      </c>
      <c r="R17" s="22" t="s">
        <v>60</v>
      </c>
      <c r="S17" s="1">
        <v>3.17</v>
      </c>
      <c r="T17" t="s">
        <v>106</v>
      </c>
      <c r="U17" s="1">
        <v>4</v>
      </c>
      <c r="V17" t="s">
        <v>38</v>
      </c>
      <c r="W17" s="1">
        <v>7.0000000000000007E-2</v>
      </c>
      <c r="X17" s="4">
        <f t="shared" si="0"/>
        <v>4.07</v>
      </c>
      <c r="Y17" s="1">
        <v>2.06</v>
      </c>
      <c r="Z17" s="1" t="s">
        <v>107</v>
      </c>
      <c r="AA17" s="1">
        <v>10</v>
      </c>
      <c r="AB17" s="1">
        <v>180</v>
      </c>
      <c r="AC17" t="s">
        <v>108</v>
      </c>
      <c r="AD17" t="s">
        <v>129</v>
      </c>
      <c r="AE17">
        <v>14</v>
      </c>
    </row>
    <row r="18" spans="1:32" ht="13.5" customHeight="1">
      <c r="A18" s="23" t="s">
        <v>130</v>
      </c>
      <c r="B18" s="24">
        <v>1.02122270942402</v>
      </c>
      <c r="C18" s="24">
        <v>4.15573282594519</v>
      </c>
      <c r="D18" s="15">
        <f t="shared" ref="D18:E18" si="16">150+273.15</f>
        <v>423.15</v>
      </c>
      <c r="E18" s="15">
        <f t="shared" si="16"/>
        <v>423.15</v>
      </c>
      <c r="F18" t="s">
        <v>24</v>
      </c>
      <c r="G18" s="1">
        <v>7.0000000000000007E-2</v>
      </c>
      <c r="H18" s="23" t="s">
        <v>39</v>
      </c>
      <c r="I18" s="1">
        <v>0.25</v>
      </c>
      <c r="J18" t="s">
        <v>21</v>
      </c>
      <c r="K18" s="1">
        <v>0.25</v>
      </c>
      <c r="L18" t="s">
        <v>33</v>
      </c>
      <c r="M18" s="1">
        <v>2.84</v>
      </c>
      <c r="N18">
        <v>0</v>
      </c>
      <c r="O18" s="1">
        <v>0</v>
      </c>
      <c r="P18" t="s">
        <v>105</v>
      </c>
      <c r="Q18" s="1">
        <v>3.04</v>
      </c>
      <c r="R18" t="s">
        <v>60</v>
      </c>
      <c r="S18" s="1">
        <v>3.17</v>
      </c>
      <c r="T18" t="s">
        <v>131</v>
      </c>
      <c r="U18" s="1">
        <v>1.66</v>
      </c>
      <c r="V18">
        <v>0</v>
      </c>
      <c r="W18" s="1">
        <v>0</v>
      </c>
      <c r="X18" s="4">
        <f t="shared" si="0"/>
        <v>1.66</v>
      </c>
      <c r="Y18" s="1">
        <v>1</v>
      </c>
      <c r="Z18" s="1" t="s">
        <v>107</v>
      </c>
      <c r="AA18" s="1">
        <f>10/60</f>
        <v>0.16666666666666666</v>
      </c>
      <c r="AB18" s="1">
        <v>3.9</v>
      </c>
      <c r="AC18" t="s">
        <v>108</v>
      </c>
      <c r="AD18" t="s">
        <v>132</v>
      </c>
      <c r="AE18">
        <v>15</v>
      </c>
    </row>
    <row r="19" spans="1:32" ht="13.5" customHeight="1">
      <c r="A19" t="s">
        <v>133</v>
      </c>
      <c r="B19" s="1">
        <v>0.94082596967969701</v>
      </c>
      <c r="C19" s="1">
        <v>3.8183357339347599</v>
      </c>
      <c r="D19" s="15">
        <f t="shared" ref="D19:E20" si="17">170+273.15</f>
        <v>443.15</v>
      </c>
      <c r="E19" s="15">
        <f t="shared" si="17"/>
        <v>443.15</v>
      </c>
      <c r="F19" t="s">
        <v>24</v>
      </c>
      <c r="G19" s="1">
        <v>0.12</v>
      </c>
      <c r="H19" t="s">
        <v>40</v>
      </c>
      <c r="I19" s="1">
        <v>0.26</v>
      </c>
      <c r="J19" t="s">
        <v>35</v>
      </c>
      <c r="K19" s="1">
        <v>0.26</v>
      </c>
      <c r="L19" t="s">
        <v>33</v>
      </c>
      <c r="M19" s="1">
        <v>3.4</v>
      </c>
      <c r="N19">
        <v>0</v>
      </c>
      <c r="O19" s="1">
        <v>0</v>
      </c>
      <c r="P19" t="s">
        <v>105</v>
      </c>
      <c r="Q19" s="1">
        <v>0.5</v>
      </c>
      <c r="R19" t="s">
        <v>60</v>
      </c>
      <c r="S19" s="1">
        <v>1.5</v>
      </c>
      <c r="T19" t="s">
        <v>106</v>
      </c>
      <c r="U19" s="1">
        <v>10.4</v>
      </c>
      <c r="V19">
        <v>0</v>
      </c>
      <c r="W19" s="1">
        <v>0</v>
      </c>
      <c r="X19" s="4">
        <f t="shared" si="0"/>
        <v>10.4</v>
      </c>
      <c r="Y19" s="1">
        <v>3.56</v>
      </c>
      <c r="Z19" s="1" t="s">
        <v>107</v>
      </c>
      <c r="AA19" s="1">
        <f t="shared" ref="AA19:AA20" si="18">30/60</f>
        <v>0.5</v>
      </c>
      <c r="AB19" s="1">
        <v>11.6</v>
      </c>
      <c r="AC19" t="s">
        <v>108</v>
      </c>
      <c r="AD19" t="s">
        <v>134</v>
      </c>
      <c r="AE19" s="26">
        <v>16</v>
      </c>
      <c r="AF19" s="26"/>
    </row>
    <row r="20" spans="1:32" ht="13.5" customHeight="1">
      <c r="A20" t="s">
        <v>135</v>
      </c>
      <c r="B20" s="1">
        <v>0.92744929712500901</v>
      </c>
      <c r="C20" s="1">
        <v>3.78933759529966</v>
      </c>
      <c r="D20" s="15">
        <f t="shared" si="17"/>
        <v>443.15</v>
      </c>
      <c r="E20" s="15">
        <f t="shared" si="17"/>
        <v>443.15</v>
      </c>
      <c r="F20" t="s">
        <v>24</v>
      </c>
      <c r="G20" s="1">
        <v>0.12</v>
      </c>
      <c r="H20" t="s">
        <v>41</v>
      </c>
      <c r="I20" s="1">
        <v>0.26</v>
      </c>
      <c r="J20" t="s">
        <v>35</v>
      </c>
      <c r="K20" s="1">
        <v>0.26</v>
      </c>
      <c r="L20" t="s">
        <v>33</v>
      </c>
      <c r="M20" s="1">
        <v>3.4</v>
      </c>
      <c r="N20">
        <v>0</v>
      </c>
      <c r="O20" s="1">
        <v>0</v>
      </c>
      <c r="P20" t="s">
        <v>105</v>
      </c>
      <c r="Q20" s="1">
        <v>0.5</v>
      </c>
      <c r="R20" t="s">
        <v>60</v>
      </c>
      <c r="S20" s="1">
        <v>1.5</v>
      </c>
      <c r="T20" t="s">
        <v>106</v>
      </c>
      <c r="U20" s="1">
        <v>10.4</v>
      </c>
      <c r="V20">
        <v>0</v>
      </c>
      <c r="W20" s="1">
        <v>0</v>
      </c>
      <c r="X20" s="4">
        <f t="shared" si="0"/>
        <v>10.4</v>
      </c>
      <c r="Y20" s="1">
        <v>3.49</v>
      </c>
      <c r="Z20" s="1" t="s">
        <v>107</v>
      </c>
      <c r="AA20" s="1">
        <f t="shared" si="18"/>
        <v>0.5</v>
      </c>
      <c r="AB20" s="1">
        <v>11.8</v>
      </c>
      <c r="AC20" t="s">
        <v>108</v>
      </c>
      <c r="AD20" t="s">
        <v>134</v>
      </c>
      <c r="AE20" s="26">
        <v>16</v>
      </c>
      <c r="AF20" s="26"/>
    </row>
    <row r="21" spans="1:32" ht="13.5" customHeight="1">
      <c r="A21" t="s">
        <v>130</v>
      </c>
      <c r="B21" s="1">
        <v>1.01922813381967</v>
      </c>
      <c r="C21" s="1">
        <v>4.15573282594519</v>
      </c>
      <c r="D21" s="15">
        <f t="shared" ref="D21:E21" si="19">180+273.15</f>
        <v>453.15</v>
      </c>
      <c r="E21" s="15">
        <f t="shared" si="19"/>
        <v>453.15</v>
      </c>
      <c r="F21" t="s">
        <v>24</v>
      </c>
      <c r="G21" s="1">
        <v>0.35499999999999998</v>
      </c>
      <c r="H21" t="s">
        <v>20</v>
      </c>
      <c r="I21" s="1">
        <v>0.125</v>
      </c>
      <c r="J21" t="s">
        <v>21</v>
      </c>
      <c r="K21" s="1">
        <v>0.25</v>
      </c>
      <c r="L21" t="s">
        <v>22</v>
      </c>
      <c r="M21" s="1">
        <v>1.98</v>
      </c>
      <c r="N21">
        <v>0</v>
      </c>
      <c r="O21" s="1">
        <v>0</v>
      </c>
      <c r="P21" t="s">
        <v>105</v>
      </c>
      <c r="Q21" s="1">
        <v>1.25</v>
      </c>
      <c r="R21" t="s">
        <v>60</v>
      </c>
      <c r="S21" s="1">
        <v>0.2</v>
      </c>
      <c r="T21" t="s">
        <v>106</v>
      </c>
      <c r="U21" s="1">
        <v>5</v>
      </c>
      <c r="V21">
        <v>0</v>
      </c>
      <c r="W21" s="1">
        <v>0</v>
      </c>
      <c r="X21" s="4">
        <f t="shared" si="0"/>
        <v>5</v>
      </c>
      <c r="Y21" s="1">
        <v>0</v>
      </c>
      <c r="Z21" s="1" t="s">
        <v>107</v>
      </c>
      <c r="AA21" s="1">
        <f t="shared" ref="AA21:AA22" si="20">5/60</f>
        <v>8.3333333333333329E-2</v>
      </c>
      <c r="AB21" s="1">
        <v>12.5</v>
      </c>
      <c r="AC21" t="s">
        <v>108</v>
      </c>
      <c r="AD21" s="5" t="s">
        <v>136</v>
      </c>
      <c r="AE21" s="26">
        <v>17</v>
      </c>
      <c r="AF21" s="26"/>
    </row>
    <row r="22" spans="1:32" ht="13.5" customHeight="1">
      <c r="A22" t="s">
        <v>111</v>
      </c>
      <c r="B22" s="1">
        <v>0.93688474778397102</v>
      </c>
      <c r="C22" s="1">
        <v>3.7931079634195402</v>
      </c>
      <c r="D22" s="15">
        <f t="shared" ref="D22:E22" si="21">105+273.15</f>
        <v>378.15</v>
      </c>
      <c r="E22" s="15">
        <f t="shared" si="21"/>
        <v>378.15</v>
      </c>
      <c r="F22" t="s">
        <v>24</v>
      </c>
      <c r="G22" s="1">
        <v>0.25019999999999998</v>
      </c>
      <c r="H22" t="s">
        <v>23</v>
      </c>
      <c r="I22" s="1">
        <v>0.24</v>
      </c>
      <c r="J22" t="s">
        <v>32</v>
      </c>
      <c r="K22" s="1">
        <v>0.25</v>
      </c>
      <c r="L22" t="s">
        <v>33</v>
      </c>
      <c r="M22" s="1">
        <v>1.72</v>
      </c>
      <c r="N22">
        <v>0</v>
      </c>
      <c r="O22" s="1">
        <v>0</v>
      </c>
      <c r="P22" t="s">
        <v>105</v>
      </c>
      <c r="Q22" s="1">
        <v>1.52</v>
      </c>
      <c r="R22" t="s">
        <v>60</v>
      </c>
      <c r="S22" s="1">
        <v>3.17</v>
      </c>
      <c r="T22" t="s">
        <v>131</v>
      </c>
      <c r="U22" s="1">
        <v>4.5</v>
      </c>
      <c r="V22">
        <v>0</v>
      </c>
      <c r="W22" s="1">
        <v>0</v>
      </c>
      <c r="X22" s="4">
        <f t="shared" si="0"/>
        <v>4.5</v>
      </c>
      <c r="Y22" s="1">
        <v>4.38</v>
      </c>
      <c r="Z22" s="1" t="s">
        <v>107</v>
      </c>
      <c r="AA22" s="1">
        <f t="shared" si="20"/>
        <v>8.3333333333333329E-2</v>
      </c>
      <c r="AB22" s="1">
        <v>9.8000000000000007</v>
      </c>
      <c r="AC22" t="s">
        <v>108</v>
      </c>
      <c r="AD22" t="s">
        <v>137</v>
      </c>
      <c r="AE22" s="26">
        <v>18</v>
      </c>
    </row>
    <row r="23" spans="1:32" ht="13.5" customHeight="1">
      <c r="A23" s="23" t="s">
        <v>113</v>
      </c>
      <c r="B23" s="24">
        <v>0.89025902942830903</v>
      </c>
      <c r="C23" s="24">
        <v>3.9623356974945101</v>
      </c>
      <c r="D23" s="15">
        <f t="shared" ref="D23:E23" si="22">160+273.15</f>
        <v>433.15</v>
      </c>
      <c r="E23" s="15">
        <f t="shared" si="22"/>
        <v>433.15</v>
      </c>
      <c r="F23" t="s">
        <v>19</v>
      </c>
      <c r="G23" s="1">
        <v>0.71</v>
      </c>
      <c r="H23" t="s">
        <v>23</v>
      </c>
      <c r="I23" s="1">
        <v>0.5</v>
      </c>
      <c r="J23" t="s">
        <v>35</v>
      </c>
      <c r="K23" s="1">
        <v>0.5</v>
      </c>
      <c r="L23" t="s">
        <v>36</v>
      </c>
      <c r="M23" s="1">
        <v>3.79</v>
      </c>
      <c r="N23">
        <v>0</v>
      </c>
      <c r="O23" s="1">
        <v>0</v>
      </c>
      <c r="P23" t="s">
        <v>105</v>
      </c>
      <c r="Q23" s="1">
        <v>2</v>
      </c>
      <c r="R23" t="s">
        <v>60</v>
      </c>
      <c r="S23" s="1">
        <v>7.92</v>
      </c>
      <c r="T23" t="s">
        <v>106</v>
      </c>
      <c r="U23" s="1">
        <v>10</v>
      </c>
      <c r="V23">
        <v>0</v>
      </c>
      <c r="W23" s="1">
        <v>0</v>
      </c>
      <c r="X23" s="4">
        <f t="shared" si="0"/>
        <v>10</v>
      </c>
      <c r="Y23" s="1">
        <v>2.35</v>
      </c>
      <c r="Z23" s="1" t="s">
        <v>107</v>
      </c>
      <c r="AA23" s="1">
        <f>30/60</f>
        <v>0.5</v>
      </c>
      <c r="AB23" s="1">
        <v>10</v>
      </c>
      <c r="AC23" t="s">
        <v>108</v>
      </c>
      <c r="AD23" t="s">
        <v>127</v>
      </c>
      <c r="AE23" s="26">
        <v>19</v>
      </c>
    </row>
    <row r="24" spans="1:32" ht="13.5" customHeight="1">
      <c r="A24" s="23" t="s">
        <v>113</v>
      </c>
      <c r="B24" s="24">
        <v>0.89613532665225804</v>
      </c>
      <c r="C24" s="24">
        <v>3.9623356974945101</v>
      </c>
      <c r="D24" s="15">
        <f t="shared" ref="D24:E25" si="23">140+273.15</f>
        <v>413.15</v>
      </c>
      <c r="E24" s="15">
        <f t="shared" si="23"/>
        <v>413.15</v>
      </c>
      <c r="F24" t="s">
        <v>19</v>
      </c>
      <c r="G24" s="1">
        <v>0.71</v>
      </c>
      <c r="H24" t="s">
        <v>23</v>
      </c>
      <c r="I24" s="1">
        <v>0.5</v>
      </c>
      <c r="J24" t="s">
        <v>35</v>
      </c>
      <c r="K24" s="1">
        <v>0.5</v>
      </c>
      <c r="L24" t="s">
        <v>36</v>
      </c>
      <c r="M24" s="1">
        <v>2.7</v>
      </c>
      <c r="N24">
        <v>0</v>
      </c>
      <c r="O24" s="1">
        <v>0</v>
      </c>
      <c r="P24" t="s">
        <v>105</v>
      </c>
      <c r="Q24" s="1">
        <v>1.87</v>
      </c>
      <c r="R24" t="s">
        <v>60</v>
      </c>
      <c r="S24" s="1">
        <v>8.85</v>
      </c>
      <c r="T24" t="s">
        <v>106</v>
      </c>
      <c r="U24" s="1">
        <v>10</v>
      </c>
      <c r="V24">
        <v>0</v>
      </c>
      <c r="W24" s="1">
        <v>0</v>
      </c>
      <c r="X24" s="4">
        <f t="shared" si="0"/>
        <v>10</v>
      </c>
      <c r="Y24" s="1">
        <v>2.33</v>
      </c>
      <c r="Z24" s="1" t="s">
        <v>107</v>
      </c>
      <c r="AA24" s="1">
        <f t="shared" ref="AA24:AA25" si="24">10/60</f>
        <v>0.16666666666666666</v>
      </c>
      <c r="AB24" s="1">
        <v>8</v>
      </c>
      <c r="AC24" t="s">
        <v>108</v>
      </c>
      <c r="AD24" t="s">
        <v>138</v>
      </c>
      <c r="AE24" s="26">
        <v>20</v>
      </c>
    </row>
    <row r="25" spans="1:32" ht="13.5" customHeight="1">
      <c r="A25" s="23" t="s">
        <v>139</v>
      </c>
      <c r="B25" s="24">
        <v>0.905980563395264</v>
      </c>
      <c r="C25" s="24">
        <v>3.8247210185954299</v>
      </c>
      <c r="D25" s="15">
        <f t="shared" si="23"/>
        <v>413.15</v>
      </c>
      <c r="E25" s="15">
        <f t="shared" si="23"/>
        <v>413.15</v>
      </c>
      <c r="F25" t="s">
        <v>19</v>
      </c>
      <c r="G25" s="1">
        <v>0.71</v>
      </c>
      <c r="H25" t="s">
        <v>23</v>
      </c>
      <c r="I25" s="1">
        <v>0.5</v>
      </c>
      <c r="J25" t="s">
        <v>35</v>
      </c>
      <c r="K25" s="1">
        <v>0.5</v>
      </c>
      <c r="L25" t="s">
        <v>22</v>
      </c>
      <c r="M25" s="1">
        <v>2.7</v>
      </c>
      <c r="N25">
        <v>0</v>
      </c>
      <c r="O25" s="1">
        <v>0</v>
      </c>
      <c r="P25" t="s">
        <v>105</v>
      </c>
      <c r="Q25" s="1">
        <v>1.87</v>
      </c>
      <c r="R25" t="s">
        <v>60</v>
      </c>
      <c r="S25" s="1">
        <v>8.85</v>
      </c>
      <c r="T25" t="s">
        <v>106</v>
      </c>
      <c r="U25" s="1">
        <v>10</v>
      </c>
      <c r="V25">
        <v>0</v>
      </c>
      <c r="W25" s="1">
        <v>0</v>
      </c>
      <c r="X25" s="4">
        <f t="shared" si="0"/>
        <v>10</v>
      </c>
      <c r="Y25" s="1">
        <v>2.89</v>
      </c>
      <c r="Z25" s="1" t="s">
        <v>107</v>
      </c>
      <c r="AA25" s="1">
        <f t="shared" si="24"/>
        <v>0.16666666666666666</v>
      </c>
      <c r="AB25" s="1">
        <v>8.1999999999999993</v>
      </c>
      <c r="AC25" t="s">
        <v>108</v>
      </c>
      <c r="AD25" t="s">
        <v>138</v>
      </c>
      <c r="AE25" s="26">
        <v>20</v>
      </c>
    </row>
    <row r="26" spans="1:32" ht="13.5" customHeight="1">
      <c r="A26" t="s">
        <v>111</v>
      </c>
      <c r="B26" s="1">
        <v>0.95692812563998497</v>
      </c>
      <c r="C26" s="1">
        <v>3.7931079634195402</v>
      </c>
      <c r="D26" s="15">
        <f t="shared" ref="D26:E30" si="25">170+273.15</f>
        <v>443.15</v>
      </c>
      <c r="E26" s="15">
        <f t="shared" si="25"/>
        <v>443.15</v>
      </c>
      <c r="F26" t="s">
        <v>24</v>
      </c>
      <c r="G26" s="1">
        <v>0.4</v>
      </c>
      <c r="H26" t="s">
        <v>23</v>
      </c>
      <c r="I26" s="1">
        <v>0.35</v>
      </c>
      <c r="J26" t="s">
        <v>32</v>
      </c>
      <c r="K26" s="1">
        <v>0.7</v>
      </c>
      <c r="L26" t="s">
        <v>22</v>
      </c>
      <c r="M26" s="1">
        <v>14.27</v>
      </c>
      <c r="N26">
        <v>0</v>
      </c>
      <c r="O26" s="1">
        <v>0</v>
      </c>
      <c r="P26" t="s">
        <v>105</v>
      </c>
      <c r="Q26" s="1">
        <v>3.04</v>
      </c>
      <c r="R26" t="s">
        <v>60</v>
      </c>
      <c r="S26" s="1">
        <v>6.34</v>
      </c>
      <c r="T26" t="s">
        <v>106</v>
      </c>
      <c r="U26" s="1">
        <v>20</v>
      </c>
      <c r="V26" t="s">
        <v>28</v>
      </c>
      <c r="W26" s="1">
        <v>0.2</v>
      </c>
      <c r="X26" s="4">
        <f t="shared" si="0"/>
        <v>20.2</v>
      </c>
      <c r="Y26" s="1">
        <v>4.5999999999999996</v>
      </c>
      <c r="Z26" s="1" t="s">
        <v>107</v>
      </c>
      <c r="AA26" s="1">
        <v>2</v>
      </c>
      <c r="AB26" s="1">
        <v>11.6</v>
      </c>
      <c r="AC26" t="s">
        <v>108</v>
      </c>
      <c r="AD26" t="s">
        <v>140</v>
      </c>
      <c r="AE26" s="26">
        <v>21</v>
      </c>
    </row>
    <row r="27" spans="1:32" ht="13.5" customHeight="1">
      <c r="A27" t="s">
        <v>141</v>
      </c>
      <c r="B27" s="1">
        <v>0.97907092779675797</v>
      </c>
      <c r="C27" s="1">
        <v>3.9076165146628501</v>
      </c>
      <c r="D27" s="15">
        <f t="shared" si="25"/>
        <v>443.15</v>
      </c>
      <c r="E27" s="15">
        <f t="shared" ref="E27:E30" si="26">180+273.15</f>
        <v>453.15</v>
      </c>
      <c r="F27" t="s">
        <v>19</v>
      </c>
      <c r="G27" s="1">
        <v>0.17</v>
      </c>
      <c r="H27" t="s">
        <v>42</v>
      </c>
      <c r="I27" s="1">
        <v>0.25</v>
      </c>
      <c r="J27" t="s">
        <v>21</v>
      </c>
      <c r="K27" s="1">
        <v>0.5</v>
      </c>
      <c r="L27" t="s">
        <v>22</v>
      </c>
      <c r="M27" s="1">
        <v>3.14</v>
      </c>
      <c r="N27">
        <v>0</v>
      </c>
      <c r="O27" s="1">
        <v>0</v>
      </c>
      <c r="P27" t="s">
        <v>105</v>
      </c>
      <c r="Q27" s="1">
        <v>2</v>
      </c>
      <c r="R27" t="s">
        <v>60</v>
      </c>
      <c r="S27" s="1">
        <v>8.8699999999999992</v>
      </c>
      <c r="T27" t="s">
        <v>106</v>
      </c>
      <c r="U27" s="1">
        <v>10</v>
      </c>
      <c r="V27">
        <v>0</v>
      </c>
      <c r="W27" s="1">
        <v>0</v>
      </c>
      <c r="X27" s="4">
        <f t="shared" si="0"/>
        <v>10</v>
      </c>
      <c r="Y27" s="1">
        <v>3.15</v>
      </c>
      <c r="Z27" s="1" t="s">
        <v>107</v>
      </c>
      <c r="AA27" s="1">
        <f t="shared" ref="AA27:AA30" si="27">1/60</f>
        <v>1.6666666666666666E-2</v>
      </c>
      <c r="AB27" s="1">
        <v>13.2</v>
      </c>
      <c r="AC27" t="s">
        <v>108</v>
      </c>
      <c r="AD27" t="s">
        <v>142</v>
      </c>
      <c r="AE27" s="26">
        <v>22</v>
      </c>
    </row>
    <row r="28" spans="1:32" ht="13.5" customHeight="1">
      <c r="A28" t="s">
        <v>135</v>
      </c>
      <c r="B28" s="1">
        <v>0.93186572234941401</v>
      </c>
      <c r="C28" s="1">
        <v>3.78933759529966</v>
      </c>
      <c r="D28" s="15">
        <f t="shared" si="25"/>
        <v>443.15</v>
      </c>
      <c r="E28" s="15">
        <f t="shared" si="26"/>
        <v>453.15</v>
      </c>
      <c r="F28" t="s">
        <v>19</v>
      </c>
      <c r="G28" s="1">
        <v>0.17</v>
      </c>
      <c r="H28" t="s">
        <v>42</v>
      </c>
      <c r="I28" s="1">
        <v>0.25</v>
      </c>
      <c r="J28" t="s">
        <v>35</v>
      </c>
      <c r="K28" s="1">
        <v>0.5</v>
      </c>
      <c r="L28" t="s">
        <v>22</v>
      </c>
      <c r="M28" s="1">
        <v>3.14</v>
      </c>
      <c r="N28">
        <v>0</v>
      </c>
      <c r="O28" s="1">
        <v>0</v>
      </c>
      <c r="P28" t="s">
        <v>105</v>
      </c>
      <c r="Q28" s="1">
        <v>2</v>
      </c>
      <c r="R28" t="s">
        <v>60</v>
      </c>
      <c r="S28" s="1">
        <v>8.8699999999999992</v>
      </c>
      <c r="T28" t="s">
        <v>106</v>
      </c>
      <c r="U28" s="1">
        <v>10</v>
      </c>
      <c r="V28">
        <v>0</v>
      </c>
      <c r="W28" s="1">
        <v>0</v>
      </c>
      <c r="X28" s="4">
        <f t="shared" si="0"/>
        <v>10</v>
      </c>
      <c r="Y28" s="1">
        <v>3.25</v>
      </c>
      <c r="Z28" s="1" t="s">
        <v>107</v>
      </c>
      <c r="AA28" s="1">
        <f t="shared" si="27"/>
        <v>1.6666666666666666E-2</v>
      </c>
      <c r="AB28" s="1">
        <v>11.4</v>
      </c>
      <c r="AC28" t="s">
        <v>108</v>
      </c>
      <c r="AD28" t="s">
        <v>142</v>
      </c>
      <c r="AE28" s="26">
        <v>22</v>
      </c>
    </row>
    <row r="29" spans="1:32" ht="13.5" customHeight="1">
      <c r="A29" t="s">
        <v>143</v>
      </c>
      <c r="B29" s="1">
        <v>1.00612751513304</v>
      </c>
      <c r="C29" s="1">
        <v>4.0242853273677897</v>
      </c>
      <c r="D29" s="15">
        <f t="shared" si="25"/>
        <v>443.15</v>
      </c>
      <c r="E29" s="15">
        <f t="shared" si="26"/>
        <v>453.15</v>
      </c>
      <c r="F29" t="s">
        <v>19</v>
      </c>
      <c r="G29" s="1">
        <v>0.17</v>
      </c>
      <c r="H29" t="s">
        <v>43</v>
      </c>
      <c r="I29" s="1">
        <v>0.25</v>
      </c>
      <c r="J29" t="s">
        <v>21</v>
      </c>
      <c r="K29" s="1">
        <v>0.5</v>
      </c>
      <c r="L29" t="s">
        <v>22</v>
      </c>
      <c r="M29" s="1">
        <v>3.14</v>
      </c>
      <c r="N29">
        <v>0</v>
      </c>
      <c r="O29" s="1">
        <v>0</v>
      </c>
      <c r="P29" t="s">
        <v>105</v>
      </c>
      <c r="Q29" s="1">
        <v>2</v>
      </c>
      <c r="R29" t="s">
        <v>60</v>
      </c>
      <c r="S29" s="1">
        <v>8.8699999999999992</v>
      </c>
      <c r="T29" t="s">
        <v>106</v>
      </c>
      <c r="U29" s="1">
        <v>10</v>
      </c>
      <c r="V29">
        <v>0</v>
      </c>
      <c r="W29" s="1">
        <v>0</v>
      </c>
      <c r="X29" s="4">
        <f t="shared" si="0"/>
        <v>10</v>
      </c>
      <c r="Y29" s="1">
        <v>3.17</v>
      </c>
      <c r="Z29" s="1" t="s">
        <v>107</v>
      </c>
      <c r="AA29" s="1">
        <f t="shared" si="27"/>
        <v>1.6666666666666666E-2</v>
      </c>
      <c r="AB29" s="1">
        <v>13.5</v>
      </c>
      <c r="AC29" t="s">
        <v>108</v>
      </c>
      <c r="AD29" t="s">
        <v>142</v>
      </c>
      <c r="AE29" s="26">
        <v>22</v>
      </c>
    </row>
    <row r="30" spans="1:32" ht="13.5" customHeight="1">
      <c r="A30" t="s">
        <v>133</v>
      </c>
      <c r="B30" s="1">
        <v>0.94082596967969701</v>
      </c>
      <c r="C30" s="1">
        <v>3.8183357339347599</v>
      </c>
      <c r="D30" s="15">
        <f t="shared" si="25"/>
        <v>443.15</v>
      </c>
      <c r="E30" s="15">
        <f t="shared" si="26"/>
        <v>453.15</v>
      </c>
      <c r="F30" t="s">
        <v>19</v>
      </c>
      <c r="G30" s="1">
        <v>0.17</v>
      </c>
      <c r="H30" t="s">
        <v>43</v>
      </c>
      <c r="I30" s="1">
        <v>0.25</v>
      </c>
      <c r="J30" t="s">
        <v>35</v>
      </c>
      <c r="K30" s="1">
        <v>0.5</v>
      </c>
      <c r="L30" t="s">
        <v>22</v>
      </c>
      <c r="M30" s="1">
        <v>3.14</v>
      </c>
      <c r="N30">
        <v>0</v>
      </c>
      <c r="O30" s="1">
        <v>0</v>
      </c>
      <c r="P30" t="s">
        <v>105</v>
      </c>
      <c r="Q30" s="1">
        <v>2</v>
      </c>
      <c r="R30" t="s">
        <v>60</v>
      </c>
      <c r="S30" s="1">
        <v>8.8699999999999992</v>
      </c>
      <c r="T30" t="s">
        <v>106</v>
      </c>
      <c r="U30" s="1">
        <v>10</v>
      </c>
      <c r="V30">
        <v>0</v>
      </c>
      <c r="W30" s="1">
        <v>0</v>
      </c>
      <c r="X30" s="4">
        <f t="shared" si="0"/>
        <v>10</v>
      </c>
      <c r="Y30" s="1">
        <v>3.27</v>
      </c>
      <c r="Z30" s="1" t="s">
        <v>107</v>
      </c>
      <c r="AA30" s="1">
        <f t="shared" si="27"/>
        <v>1.6666666666666666E-2</v>
      </c>
      <c r="AB30" s="1">
        <v>9.6999999999999993</v>
      </c>
      <c r="AC30" t="s">
        <v>108</v>
      </c>
      <c r="AD30" t="s">
        <v>142</v>
      </c>
      <c r="AE30" s="26">
        <v>22</v>
      </c>
    </row>
    <row r="31" spans="1:32" ht="13.5" customHeight="1">
      <c r="A31" t="s">
        <v>111</v>
      </c>
      <c r="B31" s="1">
        <v>0.95692812563998497</v>
      </c>
      <c r="C31" s="1">
        <v>3.7931079634195402</v>
      </c>
      <c r="D31" s="15">
        <f t="shared" ref="D31:E31" si="28">180+273.15</f>
        <v>453.15</v>
      </c>
      <c r="E31" s="15">
        <f t="shared" si="28"/>
        <v>453.15</v>
      </c>
      <c r="F31" t="s">
        <v>24</v>
      </c>
      <c r="G31" s="1">
        <v>0.5</v>
      </c>
      <c r="H31" t="s">
        <v>23</v>
      </c>
      <c r="I31" s="1">
        <v>0.5</v>
      </c>
      <c r="J31" t="s">
        <v>32</v>
      </c>
      <c r="K31" s="1">
        <v>0.55000000000000004</v>
      </c>
      <c r="L31" t="s">
        <v>22</v>
      </c>
      <c r="M31" s="1">
        <v>4.7</v>
      </c>
      <c r="N31">
        <v>0</v>
      </c>
      <c r="O31" s="1">
        <v>0</v>
      </c>
      <c r="P31" t="s">
        <v>105</v>
      </c>
      <c r="Q31" s="1">
        <v>1.52</v>
      </c>
      <c r="R31" t="s">
        <v>60</v>
      </c>
      <c r="S31" s="1">
        <v>3.17</v>
      </c>
      <c r="T31" t="s">
        <v>106</v>
      </c>
      <c r="U31" s="1">
        <v>10</v>
      </c>
      <c r="V31">
        <v>0</v>
      </c>
      <c r="W31" s="1">
        <v>0</v>
      </c>
      <c r="X31" s="4">
        <f t="shared" si="0"/>
        <v>10</v>
      </c>
      <c r="Y31" s="1">
        <v>4.8</v>
      </c>
      <c r="Z31" s="1" t="s">
        <v>107</v>
      </c>
      <c r="AA31" s="1">
        <f>30/60</f>
        <v>0.5</v>
      </c>
      <c r="AB31" s="1">
        <v>12.4</v>
      </c>
      <c r="AC31" t="s">
        <v>108</v>
      </c>
      <c r="AD31" t="s">
        <v>144</v>
      </c>
      <c r="AE31" s="26">
        <v>23</v>
      </c>
    </row>
    <row r="32" spans="1:32" ht="13.5" customHeight="1">
      <c r="A32" s="23" t="s">
        <v>113</v>
      </c>
      <c r="B32" s="24">
        <v>0.89025902942830903</v>
      </c>
      <c r="C32" s="24">
        <v>3.9623356974945101</v>
      </c>
      <c r="D32" s="15">
        <f t="shared" ref="D32:E37" si="29">200+273.15</f>
        <v>473.15</v>
      </c>
      <c r="E32" s="15">
        <f t="shared" si="29"/>
        <v>473.15</v>
      </c>
      <c r="F32" t="s">
        <v>24</v>
      </c>
      <c r="G32" s="1">
        <v>9.4E-2</v>
      </c>
      <c r="H32" t="s">
        <v>25</v>
      </c>
      <c r="I32" s="1">
        <v>0.2</v>
      </c>
      <c r="J32" t="s">
        <v>37</v>
      </c>
      <c r="K32" s="1">
        <v>0.2</v>
      </c>
      <c r="L32" t="s">
        <v>27</v>
      </c>
      <c r="M32" s="1">
        <v>0</v>
      </c>
      <c r="N32">
        <v>0</v>
      </c>
      <c r="O32" s="1">
        <v>0</v>
      </c>
      <c r="P32" t="s">
        <v>105</v>
      </c>
      <c r="Q32" s="1">
        <v>6.08</v>
      </c>
      <c r="R32" t="s">
        <v>60</v>
      </c>
      <c r="S32" s="1">
        <v>6.65</v>
      </c>
      <c r="T32" t="s">
        <v>106</v>
      </c>
      <c r="U32" s="1">
        <v>9.5</v>
      </c>
      <c r="V32" t="s">
        <v>38</v>
      </c>
      <c r="W32" s="1">
        <v>0.2</v>
      </c>
      <c r="X32" s="4">
        <f t="shared" si="0"/>
        <v>9.6999999999999993</v>
      </c>
      <c r="Y32" s="1">
        <v>2.52</v>
      </c>
      <c r="Z32" s="1" t="s">
        <v>107</v>
      </c>
      <c r="AA32" s="1">
        <f>5/60</f>
        <v>8.3333333333333329E-2</v>
      </c>
      <c r="AB32" s="1">
        <v>16.3</v>
      </c>
      <c r="AC32" t="s">
        <v>108</v>
      </c>
      <c r="AD32" t="s">
        <v>124</v>
      </c>
      <c r="AE32" s="26">
        <v>24</v>
      </c>
    </row>
    <row r="33" spans="1:31" ht="13.5" customHeight="1">
      <c r="A33" s="23" t="s">
        <v>113</v>
      </c>
      <c r="B33" s="24">
        <v>0.89025902942830903</v>
      </c>
      <c r="C33" s="24">
        <v>3.9623356974945101</v>
      </c>
      <c r="D33" s="15">
        <f t="shared" si="29"/>
        <v>473.15</v>
      </c>
      <c r="E33" s="15">
        <f t="shared" si="29"/>
        <v>473.15</v>
      </c>
      <c r="F33" t="s">
        <v>24</v>
      </c>
      <c r="G33" s="1">
        <v>0.03</v>
      </c>
      <c r="H33" t="s">
        <v>44</v>
      </c>
      <c r="I33" s="1">
        <v>0.11</v>
      </c>
      <c r="J33" t="s">
        <v>37</v>
      </c>
      <c r="K33" s="1">
        <v>0.2</v>
      </c>
      <c r="L33" t="s">
        <v>27</v>
      </c>
      <c r="M33" s="1">
        <v>0</v>
      </c>
      <c r="N33">
        <v>0</v>
      </c>
      <c r="O33" s="1">
        <v>0</v>
      </c>
      <c r="P33" s="22" t="s">
        <v>105</v>
      </c>
      <c r="Q33" s="1">
        <v>1.5</v>
      </c>
      <c r="R33" t="s">
        <v>60</v>
      </c>
      <c r="S33" s="1">
        <v>3.26</v>
      </c>
      <c r="T33" s="22" t="s">
        <v>106</v>
      </c>
      <c r="U33" s="1">
        <v>5.47</v>
      </c>
      <c r="V33" s="22">
        <v>0</v>
      </c>
      <c r="W33" s="1">
        <v>0</v>
      </c>
      <c r="X33" s="4">
        <f t="shared" si="0"/>
        <v>5.47</v>
      </c>
      <c r="Y33" s="1">
        <v>2</v>
      </c>
      <c r="Z33" s="1" t="s">
        <v>107</v>
      </c>
      <c r="AA33" s="1">
        <v>3</v>
      </c>
      <c r="AB33" s="1">
        <v>9.6999999999999993</v>
      </c>
      <c r="AC33" s="22" t="s">
        <v>108</v>
      </c>
      <c r="AD33" s="27" t="s">
        <v>145</v>
      </c>
      <c r="AE33" s="26">
        <v>25</v>
      </c>
    </row>
    <row r="34" spans="1:31" ht="13.5" customHeight="1">
      <c r="A34" s="23" t="s">
        <v>113</v>
      </c>
      <c r="B34" s="24">
        <v>0.89613532665225804</v>
      </c>
      <c r="C34" s="24">
        <v>3.9623356974945101</v>
      </c>
      <c r="D34" s="15">
        <f t="shared" si="29"/>
        <v>473.15</v>
      </c>
      <c r="E34" s="15">
        <f t="shared" si="29"/>
        <v>473.15</v>
      </c>
      <c r="F34" t="s">
        <v>24</v>
      </c>
      <c r="G34" s="1">
        <v>0.03</v>
      </c>
      <c r="H34" t="s">
        <v>44</v>
      </c>
      <c r="I34" s="1">
        <v>0.11</v>
      </c>
      <c r="J34" t="s">
        <v>37</v>
      </c>
      <c r="K34" s="1">
        <v>0.2</v>
      </c>
      <c r="L34" t="s">
        <v>27</v>
      </c>
      <c r="M34" s="1">
        <v>0</v>
      </c>
      <c r="N34" s="22" t="s">
        <v>45</v>
      </c>
      <c r="O34" s="1">
        <v>3.07</v>
      </c>
      <c r="P34" s="22" t="s">
        <v>105</v>
      </c>
      <c r="Q34" s="1">
        <v>1.5</v>
      </c>
      <c r="R34">
        <v>0</v>
      </c>
      <c r="S34" s="1">
        <v>0</v>
      </c>
      <c r="T34" s="22" t="s">
        <v>106</v>
      </c>
      <c r="U34" s="1">
        <v>5.47</v>
      </c>
      <c r="V34" s="22">
        <v>0</v>
      </c>
      <c r="W34" s="1">
        <v>0</v>
      </c>
      <c r="X34" s="4">
        <f t="shared" si="0"/>
        <v>5.47</v>
      </c>
      <c r="Y34" s="1">
        <v>2</v>
      </c>
      <c r="Z34" s="1" t="s">
        <v>107</v>
      </c>
      <c r="AA34" s="1">
        <v>3</v>
      </c>
      <c r="AB34" s="1">
        <v>11</v>
      </c>
      <c r="AC34" s="22" t="s">
        <v>108</v>
      </c>
      <c r="AD34" s="27" t="s">
        <v>145</v>
      </c>
      <c r="AE34" s="26">
        <v>25</v>
      </c>
    </row>
    <row r="35" spans="1:31" ht="13.5" customHeight="1">
      <c r="A35" s="23" t="s">
        <v>113</v>
      </c>
      <c r="B35" s="24">
        <v>0.89613532665225804</v>
      </c>
      <c r="C35" s="24">
        <v>3.9623356974945101</v>
      </c>
      <c r="D35" s="15">
        <f t="shared" si="29"/>
        <v>473.15</v>
      </c>
      <c r="E35" s="15">
        <f t="shared" si="29"/>
        <v>473.15</v>
      </c>
      <c r="F35" t="s">
        <v>24</v>
      </c>
      <c r="G35" s="1">
        <v>0.03</v>
      </c>
      <c r="H35" t="s">
        <v>44</v>
      </c>
      <c r="I35" s="1">
        <v>0.11</v>
      </c>
      <c r="J35" t="s">
        <v>37</v>
      </c>
      <c r="K35" s="1">
        <v>0.2</v>
      </c>
      <c r="L35" t="s">
        <v>27</v>
      </c>
      <c r="M35" s="1">
        <v>0</v>
      </c>
      <c r="N35">
        <v>0</v>
      </c>
      <c r="O35" s="1">
        <v>0</v>
      </c>
      <c r="P35" s="22" t="s">
        <v>105</v>
      </c>
      <c r="Q35" s="1">
        <v>1.52</v>
      </c>
      <c r="R35" t="s">
        <v>60</v>
      </c>
      <c r="S35" s="1">
        <v>1.68</v>
      </c>
      <c r="T35" s="22" t="s">
        <v>106</v>
      </c>
      <c r="U35" s="1">
        <v>5.47</v>
      </c>
      <c r="V35" s="22">
        <v>0</v>
      </c>
      <c r="W35" s="1">
        <v>0</v>
      </c>
      <c r="X35" s="4">
        <f t="shared" si="0"/>
        <v>5.47</v>
      </c>
      <c r="Y35" s="1">
        <v>2</v>
      </c>
      <c r="Z35" s="1" t="s">
        <v>107</v>
      </c>
      <c r="AA35" s="1">
        <v>3</v>
      </c>
      <c r="AB35" s="1">
        <v>9.6999999999999993</v>
      </c>
      <c r="AC35" s="22" t="s">
        <v>108</v>
      </c>
      <c r="AD35" s="27" t="s">
        <v>145</v>
      </c>
      <c r="AE35" s="26">
        <v>25</v>
      </c>
    </row>
    <row r="36" spans="1:31" ht="13.5" customHeight="1">
      <c r="A36" s="23" t="s">
        <v>113</v>
      </c>
      <c r="B36" s="24">
        <v>0.89613532665225804</v>
      </c>
      <c r="C36" s="24">
        <v>3.9623356974945101</v>
      </c>
      <c r="D36" s="15">
        <f t="shared" si="29"/>
        <v>473.15</v>
      </c>
      <c r="E36" s="15">
        <f t="shared" si="29"/>
        <v>473.15</v>
      </c>
      <c r="F36" t="s">
        <v>24</v>
      </c>
      <c r="G36" s="1">
        <v>0.03</v>
      </c>
      <c r="H36" t="s">
        <v>44</v>
      </c>
      <c r="I36" s="1">
        <v>0.11</v>
      </c>
      <c r="J36" t="s">
        <v>37</v>
      </c>
      <c r="K36" s="1">
        <v>0.2</v>
      </c>
      <c r="L36" t="s">
        <v>27</v>
      </c>
      <c r="M36" s="1">
        <v>0</v>
      </c>
      <c r="N36">
        <v>0</v>
      </c>
      <c r="O36" s="1">
        <v>0</v>
      </c>
      <c r="P36" s="22" t="s">
        <v>105</v>
      </c>
      <c r="Q36" s="1">
        <v>0.76</v>
      </c>
      <c r="R36" t="s">
        <v>60</v>
      </c>
      <c r="S36" s="1">
        <v>3.26</v>
      </c>
      <c r="T36" s="22" t="s">
        <v>106</v>
      </c>
      <c r="U36" s="1">
        <v>5.47</v>
      </c>
      <c r="V36" s="22">
        <v>0</v>
      </c>
      <c r="W36" s="1">
        <v>0</v>
      </c>
      <c r="X36" s="4">
        <f t="shared" si="0"/>
        <v>5.47</v>
      </c>
      <c r="Y36" s="1">
        <v>2</v>
      </c>
      <c r="Z36" s="1" t="s">
        <v>107</v>
      </c>
      <c r="AA36" s="1">
        <v>3</v>
      </c>
      <c r="AB36" s="1">
        <v>15.3</v>
      </c>
      <c r="AC36" s="22" t="s">
        <v>108</v>
      </c>
      <c r="AD36" s="27" t="s">
        <v>145</v>
      </c>
      <c r="AE36" s="26">
        <v>25</v>
      </c>
    </row>
    <row r="37" spans="1:31" ht="13.5" customHeight="1">
      <c r="A37" s="23" t="s">
        <v>113</v>
      </c>
      <c r="B37" s="24">
        <v>0.89025902942830903</v>
      </c>
      <c r="C37" s="24">
        <v>3.9623356974945101</v>
      </c>
      <c r="D37" s="15">
        <f t="shared" si="29"/>
        <v>473.15</v>
      </c>
      <c r="E37" s="15">
        <f t="shared" si="29"/>
        <v>473.15</v>
      </c>
      <c r="F37" t="s">
        <v>24</v>
      </c>
      <c r="G37" s="1">
        <v>0.03</v>
      </c>
      <c r="H37" t="s">
        <v>44</v>
      </c>
      <c r="I37" s="1">
        <v>0.11</v>
      </c>
      <c r="J37" t="s">
        <v>37</v>
      </c>
      <c r="K37" s="1">
        <v>0.2</v>
      </c>
      <c r="L37" t="s">
        <v>27</v>
      </c>
      <c r="M37" s="1">
        <v>0</v>
      </c>
      <c r="N37">
        <v>0</v>
      </c>
      <c r="O37" s="1">
        <v>0</v>
      </c>
      <c r="P37" s="22" t="s">
        <v>105</v>
      </c>
      <c r="Q37" s="1">
        <v>0.38</v>
      </c>
      <c r="R37" t="s">
        <v>60</v>
      </c>
      <c r="S37" s="1">
        <v>3.26</v>
      </c>
      <c r="T37" s="22" t="s">
        <v>106</v>
      </c>
      <c r="U37" s="1">
        <v>5.47</v>
      </c>
      <c r="V37" s="22">
        <v>0</v>
      </c>
      <c r="W37" s="1">
        <v>0</v>
      </c>
      <c r="X37" s="4">
        <f t="shared" si="0"/>
        <v>5.47</v>
      </c>
      <c r="Y37" s="1">
        <v>2</v>
      </c>
      <c r="Z37" s="1" t="s">
        <v>107</v>
      </c>
      <c r="AA37" s="1">
        <v>3</v>
      </c>
      <c r="AB37" s="1">
        <v>17</v>
      </c>
      <c r="AC37" s="22" t="s">
        <v>108</v>
      </c>
      <c r="AD37" s="27" t="s">
        <v>145</v>
      </c>
      <c r="AE37" s="26">
        <v>25</v>
      </c>
    </row>
    <row r="38" spans="1:31" ht="13.5" customHeight="1">
      <c r="A38" s="23" t="s">
        <v>146</v>
      </c>
      <c r="B38" s="24">
        <v>0.94366149098674901</v>
      </c>
      <c r="C38" s="24">
        <v>3.80174109782548</v>
      </c>
      <c r="D38" s="15">
        <f>185+273.15</f>
        <v>458.15</v>
      </c>
      <c r="E38" s="15">
        <f>195+273.15</f>
        <v>468.15</v>
      </c>
      <c r="F38" t="s">
        <v>19</v>
      </c>
      <c r="G38" s="1">
        <v>0.65</v>
      </c>
      <c r="H38" t="s">
        <v>31</v>
      </c>
      <c r="I38" s="1">
        <v>0.45</v>
      </c>
      <c r="J38" t="s">
        <v>46</v>
      </c>
      <c r="K38" s="1">
        <v>0.5</v>
      </c>
      <c r="L38" t="s">
        <v>22</v>
      </c>
      <c r="M38" s="1">
        <v>3.15</v>
      </c>
      <c r="N38">
        <v>0</v>
      </c>
      <c r="O38" s="1">
        <v>0</v>
      </c>
      <c r="P38" t="s">
        <v>105</v>
      </c>
      <c r="Q38" s="1">
        <v>1.98</v>
      </c>
      <c r="R38" t="s">
        <v>60</v>
      </c>
      <c r="S38" s="1">
        <v>7.92</v>
      </c>
      <c r="T38" s="22" t="s">
        <v>106</v>
      </c>
      <c r="U38" s="1">
        <v>10</v>
      </c>
      <c r="V38" s="22">
        <v>0</v>
      </c>
      <c r="W38" s="1">
        <v>0</v>
      </c>
      <c r="X38" s="4">
        <f t="shared" si="0"/>
        <v>10</v>
      </c>
      <c r="Y38" s="1">
        <v>4.58</v>
      </c>
      <c r="Z38" s="1" t="s">
        <v>107</v>
      </c>
      <c r="AA38" s="1">
        <f>1/60</f>
        <v>1.6666666666666666E-2</v>
      </c>
      <c r="AB38" s="1">
        <v>15.6</v>
      </c>
      <c r="AC38" s="22" t="s">
        <v>108</v>
      </c>
      <c r="AD38" t="s">
        <v>147</v>
      </c>
      <c r="AE38" s="26">
        <v>26</v>
      </c>
    </row>
    <row r="39" spans="1:31" ht="13.5" customHeight="1">
      <c r="A39" s="23" t="s">
        <v>148</v>
      </c>
      <c r="B39" s="24">
        <v>0.87</v>
      </c>
      <c r="C39" s="24">
        <v>4.13</v>
      </c>
      <c r="D39" s="15">
        <f t="shared" ref="D39:E39" si="30">180+273.15</f>
        <v>453.15</v>
      </c>
      <c r="E39" s="15">
        <f t="shared" si="30"/>
        <v>453.15</v>
      </c>
      <c r="F39" t="s">
        <v>24</v>
      </c>
      <c r="G39" s="1">
        <v>0.25</v>
      </c>
      <c r="H39" t="s">
        <v>47</v>
      </c>
      <c r="I39" s="1">
        <v>0.2</v>
      </c>
      <c r="J39" t="s">
        <v>48</v>
      </c>
      <c r="K39" s="1">
        <v>0.2</v>
      </c>
      <c r="L39" t="s">
        <v>27</v>
      </c>
      <c r="M39" s="1">
        <v>0</v>
      </c>
      <c r="N39" t="s">
        <v>114</v>
      </c>
      <c r="O39" s="1">
        <v>0.9</v>
      </c>
      <c r="P39" t="s">
        <v>105</v>
      </c>
      <c r="Q39" s="1">
        <v>0.3</v>
      </c>
      <c r="R39" t="s">
        <v>60</v>
      </c>
      <c r="S39" s="1">
        <v>1.33</v>
      </c>
      <c r="T39" s="22" t="s">
        <v>106</v>
      </c>
      <c r="U39" s="1">
        <v>13.16</v>
      </c>
      <c r="V39" s="22">
        <v>0</v>
      </c>
      <c r="W39" s="1">
        <v>0</v>
      </c>
      <c r="X39" s="4">
        <f t="shared" si="0"/>
        <v>13.16</v>
      </c>
      <c r="Y39" s="1">
        <v>3.2</v>
      </c>
      <c r="Z39" s="1" t="s">
        <v>107</v>
      </c>
      <c r="AA39" s="1">
        <f>50/60</f>
        <v>0.83333333333333337</v>
      </c>
      <c r="AB39" s="1">
        <v>26.6</v>
      </c>
      <c r="AC39" s="22" t="s">
        <v>108</v>
      </c>
      <c r="AD39" t="s">
        <v>149</v>
      </c>
      <c r="AE39" s="26">
        <v>27</v>
      </c>
    </row>
    <row r="40" spans="1:31" ht="13.5" customHeight="1">
      <c r="A40" s="22" t="s">
        <v>139</v>
      </c>
      <c r="B40" s="1">
        <v>0.905980563395264</v>
      </c>
      <c r="C40" s="1">
        <v>3.8247210185954299</v>
      </c>
      <c r="D40" s="15">
        <f t="shared" ref="D40:E40" si="31">200+273.15</f>
        <v>473.15</v>
      </c>
      <c r="E40" s="15">
        <f t="shared" si="31"/>
        <v>473.15</v>
      </c>
      <c r="F40" t="s">
        <v>24</v>
      </c>
      <c r="G40" s="1">
        <v>0.11</v>
      </c>
      <c r="H40" t="s">
        <v>25</v>
      </c>
      <c r="I40" s="1">
        <v>0.104</v>
      </c>
      <c r="J40" t="s">
        <v>49</v>
      </c>
      <c r="K40">
        <v>0.10150000000000001</v>
      </c>
      <c r="L40" s="22" t="s">
        <v>27</v>
      </c>
      <c r="M40" s="1">
        <v>0</v>
      </c>
      <c r="N40" s="22">
        <v>0</v>
      </c>
      <c r="O40" s="1">
        <v>0</v>
      </c>
      <c r="P40" t="s">
        <v>105</v>
      </c>
      <c r="Q40">
        <v>3.04</v>
      </c>
      <c r="R40" t="s">
        <v>60</v>
      </c>
      <c r="S40" s="1">
        <v>3.52</v>
      </c>
      <c r="T40" s="22" t="s">
        <v>106</v>
      </c>
      <c r="U40" s="22">
        <v>10.89</v>
      </c>
      <c r="V40" s="22">
        <v>0</v>
      </c>
      <c r="W40" s="1">
        <v>0</v>
      </c>
      <c r="X40" s="4">
        <f t="shared" si="0"/>
        <v>10.89</v>
      </c>
      <c r="Y40" s="22">
        <v>2.93</v>
      </c>
      <c r="Z40" s="22" t="s">
        <v>107</v>
      </c>
      <c r="AA40" s="1">
        <v>1</v>
      </c>
      <c r="AB40" s="1">
        <v>15.8</v>
      </c>
      <c r="AC40" s="22" t="s">
        <v>108</v>
      </c>
      <c r="AD40" t="s">
        <v>150</v>
      </c>
      <c r="AE40" s="26">
        <v>28</v>
      </c>
    </row>
    <row r="41" spans="1:31" ht="13.5" customHeight="1">
      <c r="A41" s="23" t="s">
        <v>139</v>
      </c>
      <c r="B41" s="24">
        <v>0.905980563395264</v>
      </c>
      <c r="C41" s="24">
        <v>3.8247210185954299</v>
      </c>
      <c r="D41" s="15">
        <f t="shared" ref="D41:E41" si="32">140+273.15</f>
        <v>413.15</v>
      </c>
      <c r="E41" s="15">
        <f t="shared" si="32"/>
        <v>413.15</v>
      </c>
      <c r="F41" s="1" t="s">
        <v>19</v>
      </c>
      <c r="G41" s="1">
        <v>0.71</v>
      </c>
      <c r="H41" t="s">
        <v>23</v>
      </c>
      <c r="I41" s="1">
        <v>0.5</v>
      </c>
      <c r="J41" t="s">
        <v>35</v>
      </c>
      <c r="K41" s="1">
        <v>0.5</v>
      </c>
      <c r="L41" t="s">
        <v>22</v>
      </c>
      <c r="M41" s="1">
        <v>2.7</v>
      </c>
      <c r="N41">
        <v>0</v>
      </c>
      <c r="O41" s="1">
        <v>0</v>
      </c>
      <c r="P41" t="s">
        <v>105</v>
      </c>
      <c r="Q41" s="1">
        <v>1.87</v>
      </c>
      <c r="R41" t="s">
        <v>60</v>
      </c>
      <c r="S41" s="1">
        <v>8.85</v>
      </c>
      <c r="T41" s="22" t="s">
        <v>106</v>
      </c>
      <c r="U41" s="1">
        <v>10</v>
      </c>
      <c r="V41" s="22">
        <v>0</v>
      </c>
      <c r="W41" s="1">
        <v>0</v>
      </c>
      <c r="X41" s="4">
        <f t="shared" si="0"/>
        <v>10</v>
      </c>
      <c r="Y41" s="1">
        <v>3.39</v>
      </c>
      <c r="Z41" s="1" t="s">
        <v>107</v>
      </c>
      <c r="AA41" s="1">
        <f>15/60</f>
        <v>0.25</v>
      </c>
      <c r="AB41" s="1">
        <v>12.9</v>
      </c>
      <c r="AC41" s="22" t="s">
        <v>108</v>
      </c>
      <c r="AD41" s="27" t="s">
        <v>151</v>
      </c>
      <c r="AE41" s="26">
        <v>29</v>
      </c>
    </row>
    <row r="42" spans="1:31" ht="13.5" customHeight="1">
      <c r="A42" s="23" t="s">
        <v>111</v>
      </c>
      <c r="B42" s="24">
        <v>0.93688474778397102</v>
      </c>
      <c r="C42" s="24">
        <v>3.7931079634195402</v>
      </c>
      <c r="D42" s="15">
        <f t="shared" ref="D42:E42" si="33">105+273.15</f>
        <v>378.15</v>
      </c>
      <c r="E42" s="15">
        <f t="shared" si="33"/>
        <v>378.15</v>
      </c>
      <c r="F42" t="s">
        <v>24</v>
      </c>
      <c r="G42" s="1">
        <v>0.25</v>
      </c>
      <c r="H42" t="s">
        <v>23</v>
      </c>
      <c r="I42" s="1">
        <v>0.24</v>
      </c>
      <c r="J42" t="s">
        <v>32</v>
      </c>
      <c r="K42" s="1">
        <v>0.25</v>
      </c>
      <c r="L42" t="s">
        <v>33</v>
      </c>
      <c r="M42" s="1">
        <v>1.72</v>
      </c>
      <c r="N42">
        <v>0</v>
      </c>
      <c r="O42" s="1">
        <v>0</v>
      </c>
      <c r="P42" t="s">
        <v>105</v>
      </c>
      <c r="Q42" s="1">
        <v>1.52</v>
      </c>
      <c r="R42" t="s">
        <v>60</v>
      </c>
      <c r="S42" s="1">
        <v>6.34</v>
      </c>
      <c r="T42" s="22" t="s">
        <v>131</v>
      </c>
      <c r="U42" s="1">
        <v>4.5</v>
      </c>
      <c r="V42" s="22">
        <v>0</v>
      </c>
      <c r="W42" s="1">
        <v>0</v>
      </c>
      <c r="X42" s="4">
        <f t="shared" si="0"/>
        <v>4.5</v>
      </c>
      <c r="Y42" s="1">
        <v>4.21</v>
      </c>
      <c r="Z42" s="1" t="s">
        <v>107</v>
      </c>
      <c r="AA42" s="1">
        <f>1/60</f>
        <v>1.6666666666666666E-2</v>
      </c>
      <c r="AB42" s="1">
        <v>17</v>
      </c>
      <c r="AC42" s="22" t="s">
        <v>108</v>
      </c>
      <c r="AD42" s="27" t="s">
        <v>152</v>
      </c>
      <c r="AE42" s="26">
        <v>30</v>
      </c>
    </row>
    <row r="43" spans="1:31" ht="13.5" customHeight="1">
      <c r="A43" s="23" t="s">
        <v>113</v>
      </c>
      <c r="B43" s="24">
        <v>0.89025902942830903</v>
      </c>
      <c r="C43" s="24">
        <v>3.9623356974945101</v>
      </c>
      <c r="D43" s="15">
        <f t="shared" ref="D43:E43" si="34">150+273.15</f>
        <v>423.15</v>
      </c>
      <c r="E43" s="15">
        <f t="shared" si="34"/>
        <v>423.15</v>
      </c>
      <c r="F43" t="s">
        <v>19</v>
      </c>
      <c r="G43" s="1">
        <v>0.71</v>
      </c>
      <c r="H43" t="s">
        <v>23</v>
      </c>
      <c r="I43" s="1">
        <v>0.5</v>
      </c>
      <c r="J43" t="s">
        <v>35</v>
      </c>
      <c r="K43" s="1">
        <v>0.5</v>
      </c>
      <c r="L43" t="s">
        <v>36</v>
      </c>
      <c r="M43" s="1">
        <v>2.7</v>
      </c>
      <c r="N43">
        <v>0</v>
      </c>
      <c r="O43" s="1">
        <v>0</v>
      </c>
      <c r="P43" t="s">
        <v>105</v>
      </c>
      <c r="Q43" s="1">
        <v>1.82</v>
      </c>
      <c r="R43" t="s">
        <v>60</v>
      </c>
      <c r="S43" s="1">
        <v>8.8699999999999992</v>
      </c>
      <c r="T43" s="22" t="s">
        <v>106</v>
      </c>
      <c r="U43" s="1">
        <v>10</v>
      </c>
      <c r="V43" s="22">
        <v>0</v>
      </c>
      <c r="W43" s="1">
        <v>0</v>
      </c>
      <c r="X43" s="4">
        <f t="shared" si="0"/>
        <v>10</v>
      </c>
      <c r="Y43" s="1">
        <v>2.89</v>
      </c>
      <c r="Z43" s="1" t="s">
        <v>153</v>
      </c>
      <c r="AA43" s="1">
        <f>10/60</f>
        <v>0.16666666666666666</v>
      </c>
      <c r="AB43" s="1">
        <v>9</v>
      </c>
      <c r="AC43" s="22" t="s">
        <v>108</v>
      </c>
      <c r="AD43" s="27" t="s">
        <v>154</v>
      </c>
      <c r="AE43" s="26">
        <v>31</v>
      </c>
    </row>
    <row r="44" spans="1:31" ht="13.5" customHeight="1">
      <c r="A44" s="23" t="s">
        <v>125</v>
      </c>
      <c r="B44" s="24">
        <v>0.91982045449295902</v>
      </c>
      <c r="C44" s="24">
        <v>3.78960793424887</v>
      </c>
      <c r="D44" s="15">
        <f t="shared" ref="D44:E44" si="35">140+273.15</f>
        <v>413.15</v>
      </c>
      <c r="E44" s="15">
        <f t="shared" si="35"/>
        <v>413.15</v>
      </c>
      <c r="F44" t="s">
        <v>24</v>
      </c>
      <c r="G44" s="1">
        <v>0.25</v>
      </c>
      <c r="H44" t="s">
        <v>31</v>
      </c>
      <c r="I44" s="1">
        <v>0.25</v>
      </c>
      <c r="J44" t="s">
        <v>35</v>
      </c>
      <c r="K44" s="1">
        <v>0.25</v>
      </c>
      <c r="L44" t="s">
        <v>33</v>
      </c>
      <c r="M44" s="1">
        <v>1.89</v>
      </c>
      <c r="N44">
        <v>0</v>
      </c>
      <c r="O44" s="1">
        <v>0</v>
      </c>
      <c r="P44" t="s">
        <v>105</v>
      </c>
      <c r="Q44" s="1">
        <v>1.82</v>
      </c>
      <c r="R44" t="s">
        <v>60</v>
      </c>
      <c r="S44" s="1">
        <v>3.8</v>
      </c>
      <c r="T44" s="22" t="s">
        <v>155</v>
      </c>
      <c r="U44" s="1">
        <v>4.5</v>
      </c>
      <c r="V44" s="22">
        <v>0</v>
      </c>
      <c r="W44" s="1">
        <v>0</v>
      </c>
      <c r="X44" s="4">
        <f t="shared" si="0"/>
        <v>4.5</v>
      </c>
      <c r="Y44" s="1">
        <v>3.7</v>
      </c>
      <c r="Z44" s="1" t="s">
        <v>153</v>
      </c>
      <c r="AA44" s="1">
        <f>1/60</f>
        <v>1.6666666666666666E-2</v>
      </c>
      <c r="AB44" s="1">
        <v>10.1</v>
      </c>
      <c r="AC44" s="22" t="s">
        <v>108</v>
      </c>
      <c r="AD44" s="27" t="s">
        <v>156</v>
      </c>
      <c r="AE44" s="26">
        <v>32</v>
      </c>
    </row>
    <row r="45" spans="1:31" ht="13.5" customHeight="1">
      <c r="A45" s="23" t="s">
        <v>130</v>
      </c>
      <c r="B45" s="24">
        <v>1.01922813381967</v>
      </c>
      <c r="C45" s="24">
        <v>4.15573282594519</v>
      </c>
      <c r="D45" s="15">
        <f t="shared" ref="D45:E45" si="36">150+273.15</f>
        <v>423.15</v>
      </c>
      <c r="E45" s="15">
        <f t="shared" si="36"/>
        <v>423.15</v>
      </c>
      <c r="F45" t="s">
        <v>24</v>
      </c>
      <c r="G45" s="1">
        <v>7.3999999999999996E-2</v>
      </c>
      <c r="H45" t="s">
        <v>39</v>
      </c>
      <c r="I45" s="1">
        <v>0.25</v>
      </c>
      <c r="J45" t="s">
        <v>21</v>
      </c>
      <c r="K45" s="1">
        <v>0.25</v>
      </c>
      <c r="L45" t="s">
        <v>33</v>
      </c>
      <c r="M45" s="1">
        <v>2.84</v>
      </c>
      <c r="N45">
        <v>0</v>
      </c>
      <c r="O45" s="1">
        <v>0</v>
      </c>
      <c r="P45">
        <v>0</v>
      </c>
      <c r="Q45" s="1">
        <v>0</v>
      </c>
      <c r="R45" t="s">
        <v>60</v>
      </c>
      <c r="S45" s="1">
        <v>3.58</v>
      </c>
      <c r="T45" s="22" t="s">
        <v>131</v>
      </c>
      <c r="U45" s="1">
        <v>2.54</v>
      </c>
      <c r="V45" s="22">
        <v>0</v>
      </c>
      <c r="W45" s="1">
        <v>0</v>
      </c>
      <c r="X45" s="4">
        <f t="shared" si="0"/>
        <v>2.54</v>
      </c>
      <c r="Y45" s="1">
        <v>1.56</v>
      </c>
      <c r="Z45" s="1" t="s">
        <v>107</v>
      </c>
      <c r="AA45" s="1">
        <f>10/60</f>
        <v>0.16666666666666666</v>
      </c>
      <c r="AB45" s="1">
        <v>3.9</v>
      </c>
      <c r="AC45" s="22" t="s">
        <v>108</v>
      </c>
      <c r="AD45" s="27" t="s">
        <v>132</v>
      </c>
      <c r="AE45" s="26">
        <v>33</v>
      </c>
    </row>
    <row r="46" spans="1:31" ht="13.5" customHeight="1">
      <c r="A46" s="23" t="s">
        <v>125</v>
      </c>
      <c r="B46" s="24">
        <v>0.91982045449295902</v>
      </c>
      <c r="C46" s="24">
        <v>3.78960793424887</v>
      </c>
      <c r="D46" s="15">
        <f t="shared" ref="D46:D47" si="37">168+273.15</f>
        <v>441.15</v>
      </c>
      <c r="E46" s="15">
        <f t="shared" ref="E46:E47" si="38">180+273.15</f>
        <v>453.15</v>
      </c>
      <c r="F46" t="s">
        <v>24</v>
      </c>
      <c r="G46" s="1">
        <v>0.65</v>
      </c>
      <c r="H46" t="s">
        <v>31</v>
      </c>
      <c r="I46" s="1">
        <v>0.45</v>
      </c>
      <c r="J46" t="s">
        <v>35</v>
      </c>
      <c r="K46" s="1">
        <v>0.5</v>
      </c>
      <c r="L46" t="s">
        <v>22</v>
      </c>
      <c r="M46" s="1">
        <v>3.15</v>
      </c>
      <c r="N46">
        <v>0</v>
      </c>
      <c r="O46" s="1">
        <v>0</v>
      </c>
      <c r="P46" t="s">
        <v>105</v>
      </c>
      <c r="Q46" s="1">
        <v>2.13</v>
      </c>
      <c r="R46" t="s">
        <v>60</v>
      </c>
      <c r="S46" s="1">
        <v>8.8699999999999992</v>
      </c>
      <c r="T46" s="22">
        <v>0</v>
      </c>
      <c r="U46" s="1">
        <v>0</v>
      </c>
      <c r="V46" s="22">
        <v>0</v>
      </c>
      <c r="W46" s="1">
        <v>0</v>
      </c>
      <c r="X46" s="4">
        <f t="shared" si="0"/>
        <v>0</v>
      </c>
      <c r="Y46" s="1">
        <v>3.8</v>
      </c>
      <c r="Z46" s="1" t="s">
        <v>153</v>
      </c>
      <c r="AA46" s="1">
        <f t="shared" ref="AA46:AA47" si="39">1/60</f>
        <v>1.6666666666666666E-2</v>
      </c>
      <c r="AB46" s="1">
        <v>10.62</v>
      </c>
      <c r="AC46" s="22" t="s">
        <v>108</v>
      </c>
      <c r="AD46" s="27" t="s">
        <v>157</v>
      </c>
      <c r="AE46" s="26">
        <v>34</v>
      </c>
    </row>
    <row r="47" spans="1:31" ht="13.5" customHeight="1">
      <c r="A47" s="23" t="s">
        <v>116</v>
      </c>
      <c r="B47" s="24">
        <v>0.95927353771263202</v>
      </c>
      <c r="C47" s="24">
        <v>3.8362877498517798</v>
      </c>
      <c r="D47" s="15">
        <f t="shared" si="37"/>
        <v>441.15</v>
      </c>
      <c r="E47" s="15">
        <f t="shared" si="38"/>
        <v>453.15</v>
      </c>
      <c r="F47" t="s">
        <v>24</v>
      </c>
      <c r="G47" s="1">
        <v>0.65</v>
      </c>
      <c r="H47" t="s">
        <v>31</v>
      </c>
      <c r="I47" s="1">
        <v>0.45</v>
      </c>
      <c r="J47" t="s">
        <v>32</v>
      </c>
      <c r="K47" s="1">
        <v>0.5</v>
      </c>
      <c r="L47" t="s">
        <v>22</v>
      </c>
      <c r="M47" s="1">
        <v>3.15</v>
      </c>
      <c r="N47">
        <v>0</v>
      </c>
      <c r="O47" s="1">
        <v>0</v>
      </c>
      <c r="P47" t="s">
        <v>105</v>
      </c>
      <c r="Q47" s="1">
        <v>2.13</v>
      </c>
      <c r="R47" t="s">
        <v>60</v>
      </c>
      <c r="S47" s="1">
        <v>8.8699999999999992</v>
      </c>
      <c r="T47" s="22">
        <v>0</v>
      </c>
      <c r="U47" s="1">
        <v>0</v>
      </c>
      <c r="V47" s="22">
        <v>0</v>
      </c>
      <c r="W47" s="1">
        <v>0</v>
      </c>
      <c r="X47" s="4">
        <f t="shared" si="0"/>
        <v>0</v>
      </c>
      <c r="Y47" s="1">
        <v>3.8</v>
      </c>
      <c r="Z47" s="1" t="s">
        <v>153</v>
      </c>
      <c r="AA47" s="1">
        <f t="shared" si="39"/>
        <v>1.6666666666666666E-2</v>
      </c>
      <c r="AB47" s="1">
        <v>11.82</v>
      </c>
      <c r="AC47" s="22" t="s">
        <v>108</v>
      </c>
      <c r="AD47" s="27" t="s">
        <v>157</v>
      </c>
      <c r="AE47" s="26">
        <v>34</v>
      </c>
    </row>
    <row r="48" spans="1:31" ht="13.5" customHeight="1">
      <c r="A48" s="23" t="s">
        <v>113</v>
      </c>
      <c r="B48" s="24">
        <v>0.89025902942830903</v>
      </c>
      <c r="C48" s="24">
        <v>3.9623356974945101</v>
      </c>
      <c r="D48" s="15">
        <f t="shared" ref="D48:E50" si="40">160+273.15</f>
        <v>433.15</v>
      </c>
      <c r="E48" s="15">
        <f t="shared" si="40"/>
        <v>433.15</v>
      </c>
      <c r="F48" t="s">
        <v>19</v>
      </c>
      <c r="G48" s="1">
        <v>0.71</v>
      </c>
      <c r="H48" t="s">
        <v>50</v>
      </c>
      <c r="I48" s="1">
        <v>0.5</v>
      </c>
      <c r="J48" t="s">
        <v>29</v>
      </c>
      <c r="K48" s="1">
        <v>0.75</v>
      </c>
      <c r="L48" t="s">
        <v>30</v>
      </c>
      <c r="M48" s="1">
        <v>16.84</v>
      </c>
      <c r="N48">
        <v>0</v>
      </c>
      <c r="O48" s="1">
        <v>0</v>
      </c>
      <c r="P48" t="s">
        <v>105</v>
      </c>
      <c r="Q48" s="1">
        <v>3.65</v>
      </c>
      <c r="R48" t="s">
        <v>60</v>
      </c>
      <c r="S48" s="1">
        <v>3.8</v>
      </c>
      <c r="T48" s="22" t="s">
        <v>106</v>
      </c>
      <c r="U48" s="1">
        <v>11</v>
      </c>
      <c r="V48" s="22">
        <v>0</v>
      </c>
      <c r="W48" s="1">
        <v>0</v>
      </c>
      <c r="X48" s="4">
        <f t="shared" si="0"/>
        <v>11</v>
      </c>
      <c r="Y48" s="1">
        <v>2.25</v>
      </c>
      <c r="Z48" s="1" t="s">
        <v>107</v>
      </c>
      <c r="AA48" s="1">
        <f>15/60</f>
        <v>0.25</v>
      </c>
      <c r="AB48" s="1">
        <v>15</v>
      </c>
      <c r="AC48" s="22" t="s">
        <v>108</v>
      </c>
      <c r="AD48" s="27" t="s">
        <v>158</v>
      </c>
      <c r="AE48" s="26">
        <v>35</v>
      </c>
    </row>
    <row r="49" spans="1:32" ht="13.5" customHeight="1">
      <c r="A49" s="23" t="s">
        <v>141</v>
      </c>
      <c r="B49" s="24">
        <v>0.99084456553608602</v>
      </c>
      <c r="C49" s="24">
        <v>3.9076165146628501</v>
      </c>
      <c r="D49" s="15">
        <f t="shared" si="40"/>
        <v>433.15</v>
      </c>
      <c r="E49" s="15">
        <f t="shared" si="40"/>
        <v>433.15</v>
      </c>
      <c r="F49" t="s">
        <v>24</v>
      </c>
      <c r="G49" s="1">
        <v>0.35499999999999998</v>
      </c>
      <c r="H49" t="s">
        <v>42</v>
      </c>
      <c r="I49" s="1">
        <v>0.125</v>
      </c>
      <c r="J49" t="s">
        <v>21</v>
      </c>
      <c r="K49" s="1">
        <v>0.25</v>
      </c>
      <c r="L49" t="s">
        <v>33</v>
      </c>
      <c r="M49" s="1">
        <v>3.44</v>
      </c>
      <c r="N49">
        <v>0</v>
      </c>
      <c r="O49" s="1">
        <v>0</v>
      </c>
      <c r="P49" t="s">
        <v>105</v>
      </c>
      <c r="Q49" s="1">
        <v>2.66</v>
      </c>
      <c r="R49" t="s">
        <v>60</v>
      </c>
      <c r="S49" s="1">
        <v>6.34</v>
      </c>
      <c r="T49" s="22" t="s">
        <v>155</v>
      </c>
      <c r="U49" s="1">
        <v>4.4000000000000004</v>
      </c>
      <c r="V49" s="22">
        <v>0</v>
      </c>
      <c r="W49" s="1">
        <v>0</v>
      </c>
      <c r="X49" s="4">
        <f t="shared" si="0"/>
        <v>4.4000000000000004</v>
      </c>
      <c r="Y49" s="1">
        <v>3.8</v>
      </c>
      <c r="Z49" s="1" t="s">
        <v>153</v>
      </c>
      <c r="AA49" s="1">
        <f t="shared" ref="AA49:AA50" si="41">1/60</f>
        <v>1.6666666666666666E-2</v>
      </c>
      <c r="AB49" s="1">
        <v>10.7</v>
      </c>
      <c r="AC49" s="22" t="s">
        <v>108</v>
      </c>
      <c r="AD49" t="s">
        <v>159</v>
      </c>
      <c r="AE49" s="26">
        <v>36</v>
      </c>
    </row>
    <row r="50" spans="1:32" ht="13.5" customHeight="1">
      <c r="A50" s="23" t="s">
        <v>143</v>
      </c>
      <c r="B50" s="24">
        <v>1.00612751513304</v>
      </c>
      <c r="C50" s="24">
        <v>4.0242853273677897</v>
      </c>
      <c r="D50" s="15">
        <f t="shared" si="40"/>
        <v>433.15</v>
      </c>
      <c r="E50" s="15">
        <f t="shared" si="40"/>
        <v>433.15</v>
      </c>
      <c r="F50" t="s">
        <v>24</v>
      </c>
      <c r="G50" s="1">
        <v>0.35499999999999998</v>
      </c>
      <c r="H50" t="s">
        <v>43</v>
      </c>
      <c r="I50" s="1">
        <v>0.125</v>
      </c>
      <c r="J50" t="s">
        <v>21</v>
      </c>
      <c r="K50" s="1">
        <v>0.25</v>
      </c>
      <c r="L50" t="s">
        <v>33</v>
      </c>
      <c r="M50" s="1">
        <v>3.44</v>
      </c>
      <c r="N50">
        <v>0</v>
      </c>
      <c r="O50" s="1">
        <v>0</v>
      </c>
      <c r="P50" t="s">
        <v>105</v>
      </c>
      <c r="Q50" s="1">
        <v>2.66</v>
      </c>
      <c r="R50" t="s">
        <v>60</v>
      </c>
      <c r="S50" s="1">
        <v>6.34</v>
      </c>
      <c r="T50" s="22" t="s">
        <v>155</v>
      </c>
      <c r="U50" s="1">
        <v>4.4000000000000004</v>
      </c>
      <c r="V50" s="22">
        <v>0</v>
      </c>
      <c r="W50" s="1">
        <v>0</v>
      </c>
      <c r="X50" s="4">
        <f t="shared" si="0"/>
        <v>4.4000000000000004</v>
      </c>
      <c r="Y50" s="1">
        <v>3.8</v>
      </c>
      <c r="Z50" s="1" t="s">
        <v>153</v>
      </c>
      <c r="AA50" s="1">
        <f t="shared" si="41"/>
        <v>1.6666666666666666E-2</v>
      </c>
      <c r="AB50" s="1">
        <v>12.4</v>
      </c>
      <c r="AC50" s="22" t="s">
        <v>108</v>
      </c>
      <c r="AD50" t="s">
        <v>159</v>
      </c>
      <c r="AE50" s="26">
        <v>36</v>
      </c>
    </row>
    <row r="51" spans="1:32" ht="13.5" customHeight="1">
      <c r="A51" s="23" t="s">
        <v>110</v>
      </c>
      <c r="B51" s="24">
        <v>0.96637926762161497</v>
      </c>
      <c r="C51" s="24">
        <v>3.80174109782548</v>
      </c>
      <c r="D51" s="15">
        <f t="shared" ref="D51:E52" si="42">230+273.15</f>
        <v>503.15</v>
      </c>
      <c r="E51" s="15">
        <f t="shared" si="42"/>
        <v>503.15</v>
      </c>
      <c r="F51" t="s">
        <v>24</v>
      </c>
      <c r="G51" s="1">
        <v>0.16</v>
      </c>
      <c r="H51" t="s">
        <v>25</v>
      </c>
      <c r="I51" s="1">
        <v>0.5</v>
      </c>
      <c r="J51" t="s">
        <v>51</v>
      </c>
      <c r="K51" s="1">
        <v>0.5</v>
      </c>
      <c r="L51" t="s">
        <v>27</v>
      </c>
      <c r="M51" s="1">
        <v>0</v>
      </c>
      <c r="N51">
        <v>0</v>
      </c>
      <c r="O51" s="1">
        <v>0</v>
      </c>
      <c r="P51" t="s">
        <v>105</v>
      </c>
      <c r="Q51" s="1">
        <v>3.04</v>
      </c>
      <c r="R51" t="s">
        <v>60</v>
      </c>
      <c r="S51" s="1">
        <v>3.68</v>
      </c>
      <c r="T51" s="22" t="s">
        <v>106</v>
      </c>
      <c r="U51" s="1">
        <v>14.64</v>
      </c>
      <c r="V51" s="22">
        <v>0</v>
      </c>
      <c r="W51" s="1">
        <v>0</v>
      </c>
      <c r="X51" s="4">
        <f t="shared" si="0"/>
        <v>14.64</v>
      </c>
      <c r="Y51" s="1">
        <v>3.45</v>
      </c>
      <c r="Z51" s="1" t="s">
        <v>153</v>
      </c>
      <c r="AA51" s="1">
        <f t="shared" ref="AA51:AA54" si="43">5/60</f>
        <v>8.3333333333333329E-2</v>
      </c>
      <c r="AB51" s="1">
        <v>9.5</v>
      </c>
      <c r="AC51" s="22" t="s">
        <v>108</v>
      </c>
      <c r="AD51" s="27" t="s">
        <v>160</v>
      </c>
      <c r="AE51" s="26">
        <v>37</v>
      </c>
    </row>
    <row r="52" spans="1:32" ht="13.5" customHeight="1">
      <c r="A52" s="23" t="s">
        <v>139</v>
      </c>
      <c r="B52" s="24">
        <v>0.899732421578745</v>
      </c>
      <c r="C52" s="24">
        <v>3.8247210185954299</v>
      </c>
      <c r="D52" s="15">
        <f t="shared" si="42"/>
        <v>503.15</v>
      </c>
      <c r="E52" s="15">
        <f t="shared" si="42"/>
        <v>503.15</v>
      </c>
      <c r="F52" t="s">
        <v>24</v>
      </c>
      <c r="G52" s="1">
        <v>0.16</v>
      </c>
      <c r="H52" t="s">
        <v>25</v>
      </c>
      <c r="I52" s="1">
        <v>0.5</v>
      </c>
      <c r="J52" t="s">
        <v>49</v>
      </c>
      <c r="K52" s="1">
        <v>0.5</v>
      </c>
      <c r="L52" t="s">
        <v>27</v>
      </c>
      <c r="M52" s="1">
        <v>0</v>
      </c>
      <c r="N52">
        <v>0</v>
      </c>
      <c r="O52" s="1">
        <v>0</v>
      </c>
      <c r="P52" t="s">
        <v>105</v>
      </c>
      <c r="Q52" s="1">
        <v>3.04</v>
      </c>
      <c r="R52" t="s">
        <v>60</v>
      </c>
      <c r="S52" s="1">
        <v>3.68</v>
      </c>
      <c r="T52" s="22" t="s">
        <v>106</v>
      </c>
      <c r="U52" s="1">
        <v>14.64</v>
      </c>
      <c r="V52" s="22">
        <v>0</v>
      </c>
      <c r="W52" s="1">
        <v>0</v>
      </c>
      <c r="X52" s="4">
        <f t="shared" si="0"/>
        <v>14.64</v>
      </c>
      <c r="Y52" s="1">
        <v>3.39</v>
      </c>
      <c r="Z52" s="1" t="s">
        <v>153</v>
      </c>
      <c r="AA52" s="1">
        <f t="shared" si="43"/>
        <v>8.3333333333333329E-2</v>
      </c>
      <c r="AB52" s="1">
        <v>10.7</v>
      </c>
      <c r="AC52" s="22" t="s">
        <v>108</v>
      </c>
      <c r="AD52" s="27" t="s">
        <v>160</v>
      </c>
      <c r="AE52" s="26">
        <v>37</v>
      </c>
    </row>
    <row r="53" spans="1:32" ht="13.5" customHeight="1">
      <c r="A53" s="23" t="s">
        <v>113</v>
      </c>
      <c r="B53" s="24">
        <v>0.89025902942830903</v>
      </c>
      <c r="C53" s="24">
        <v>3.9623356974945101</v>
      </c>
      <c r="D53" s="15">
        <f t="shared" ref="D53:E53" si="44">200+273.15</f>
        <v>473.15</v>
      </c>
      <c r="E53" s="15">
        <f t="shared" si="44"/>
        <v>473.15</v>
      </c>
      <c r="F53" t="s">
        <v>24</v>
      </c>
      <c r="G53" s="1">
        <v>4.5999999999999999E-2</v>
      </c>
      <c r="H53" t="s">
        <v>25</v>
      </c>
      <c r="I53" s="1">
        <v>0.1</v>
      </c>
      <c r="J53" t="s">
        <v>37</v>
      </c>
      <c r="K53" s="1">
        <v>0.1003</v>
      </c>
      <c r="L53" t="s">
        <v>27</v>
      </c>
      <c r="M53" s="1">
        <v>0</v>
      </c>
      <c r="N53">
        <v>0</v>
      </c>
      <c r="O53" s="1">
        <v>0</v>
      </c>
      <c r="P53" t="s">
        <v>105</v>
      </c>
      <c r="Q53" s="1">
        <v>3.04</v>
      </c>
      <c r="R53" t="s">
        <v>60</v>
      </c>
      <c r="S53" s="1">
        <v>4.75</v>
      </c>
      <c r="T53" s="22" t="s">
        <v>106</v>
      </c>
      <c r="U53" s="1">
        <v>4.75</v>
      </c>
      <c r="V53" s="22" t="s">
        <v>38</v>
      </c>
      <c r="W53" s="1">
        <v>0.1</v>
      </c>
      <c r="X53" s="4">
        <f t="shared" si="0"/>
        <v>4.8499999999999996</v>
      </c>
      <c r="Y53" s="1">
        <v>2.52</v>
      </c>
      <c r="Z53" s="1" t="s">
        <v>107</v>
      </c>
      <c r="AA53" s="1">
        <f t="shared" si="43"/>
        <v>8.3333333333333329E-2</v>
      </c>
      <c r="AB53" s="1">
        <v>9.5</v>
      </c>
      <c r="AC53" s="22" t="s">
        <v>108</v>
      </c>
      <c r="AD53" s="27" t="s">
        <v>161</v>
      </c>
      <c r="AE53" s="26">
        <v>38</v>
      </c>
    </row>
    <row r="54" spans="1:32" ht="13.5" customHeight="1">
      <c r="A54" s="23" t="s">
        <v>162</v>
      </c>
      <c r="B54" s="24">
        <v>0.9</v>
      </c>
      <c r="C54" s="24">
        <v>3.98</v>
      </c>
      <c r="D54" s="15">
        <f t="shared" ref="D54:E54" si="45">120+273.15</f>
        <v>393.15</v>
      </c>
      <c r="E54" s="15">
        <f t="shared" si="45"/>
        <v>393.15</v>
      </c>
      <c r="F54" t="s">
        <v>24</v>
      </c>
      <c r="G54" s="1">
        <v>3.5499999999999997E-2</v>
      </c>
      <c r="H54" t="s">
        <v>52</v>
      </c>
      <c r="I54" s="1">
        <v>0.26</v>
      </c>
      <c r="J54" t="s">
        <v>49</v>
      </c>
      <c r="K54" s="1">
        <v>0.13</v>
      </c>
      <c r="L54" t="s">
        <v>27</v>
      </c>
      <c r="M54" s="1">
        <v>0</v>
      </c>
      <c r="N54">
        <v>0</v>
      </c>
      <c r="O54" s="1">
        <v>0</v>
      </c>
      <c r="P54" t="s">
        <v>105</v>
      </c>
      <c r="Q54" s="1">
        <v>3.04</v>
      </c>
      <c r="R54" t="s">
        <v>60</v>
      </c>
      <c r="S54" s="1">
        <v>1.04</v>
      </c>
      <c r="T54" s="22" t="s">
        <v>106</v>
      </c>
      <c r="U54" s="1">
        <v>10.56</v>
      </c>
      <c r="V54" s="22">
        <v>0</v>
      </c>
      <c r="W54" s="1">
        <v>0</v>
      </c>
      <c r="X54" s="4">
        <f t="shared" si="0"/>
        <v>10.56</v>
      </c>
      <c r="Y54" s="1">
        <v>2.5</v>
      </c>
      <c r="Z54" s="1" t="s">
        <v>153</v>
      </c>
      <c r="AA54" s="1">
        <f t="shared" si="43"/>
        <v>8.3333333333333329E-2</v>
      </c>
      <c r="AB54" s="1">
        <v>20</v>
      </c>
      <c r="AC54" s="22" t="s">
        <v>108</v>
      </c>
      <c r="AD54" s="27" t="s">
        <v>163</v>
      </c>
      <c r="AE54" s="26">
        <v>39</v>
      </c>
    </row>
    <row r="55" spans="1:32" ht="13.5" customHeight="1">
      <c r="A55" s="23" t="s">
        <v>111</v>
      </c>
      <c r="B55" s="24">
        <v>0.95692812563998497</v>
      </c>
      <c r="C55" s="24">
        <v>3.7931079634195402</v>
      </c>
      <c r="D55" s="15">
        <f t="shared" ref="D55:E55" si="46">100+273.15</f>
        <v>373.15</v>
      </c>
      <c r="E55" s="15">
        <f t="shared" si="46"/>
        <v>373.15</v>
      </c>
      <c r="F55" t="s">
        <v>19</v>
      </c>
      <c r="G55" s="1">
        <v>0.125</v>
      </c>
      <c r="H55" t="s">
        <v>23</v>
      </c>
      <c r="I55" s="1">
        <v>0.25</v>
      </c>
      <c r="J55" t="s">
        <v>32</v>
      </c>
      <c r="K55" s="1">
        <v>0.25</v>
      </c>
      <c r="L55" t="s">
        <v>33</v>
      </c>
      <c r="M55" s="1">
        <v>1.5</v>
      </c>
      <c r="N55">
        <v>0</v>
      </c>
      <c r="O55" s="1">
        <v>0</v>
      </c>
      <c r="P55" t="s">
        <v>105</v>
      </c>
      <c r="Q55" s="1">
        <v>1.1399999999999999</v>
      </c>
      <c r="R55" t="s">
        <v>60</v>
      </c>
      <c r="S55" s="1">
        <v>3.96</v>
      </c>
      <c r="T55" s="22" t="s">
        <v>118</v>
      </c>
      <c r="U55" s="1">
        <v>5</v>
      </c>
      <c r="V55" s="22">
        <v>0</v>
      </c>
      <c r="W55" s="1">
        <v>0</v>
      </c>
      <c r="X55" s="4">
        <f t="shared" si="0"/>
        <v>5</v>
      </c>
      <c r="Y55" s="1">
        <v>2.38</v>
      </c>
      <c r="Z55" s="1" t="s">
        <v>153</v>
      </c>
      <c r="AA55" s="1">
        <f>1/60</f>
        <v>1.6666666666666666E-2</v>
      </c>
      <c r="AB55" s="1">
        <v>7.5</v>
      </c>
      <c r="AC55" s="22" t="s">
        <v>108</v>
      </c>
      <c r="AD55" s="27" t="s">
        <v>164</v>
      </c>
      <c r="AE55" s="26">
        <v>40</v>
      </c>
    </row>
    <row r="56" spans="1:32" ht="13.5" customHeight="1">
      <c r="A56" s="23" t="s">
        <v>111</v>
      </c>
      <c r="B56" s="24">
        <v>0.95692812563998497</v>
      </c>
      <c r="C56" s="24">
        <v>3.7931079634195402</v>
      </c>
      <c r="D56" s="15">
        <f t="shared" ref="D56:E57" si="47">105+273.15</f>
        <v>378.15</v>
      </c>
      <c r="E56" s="15">
        <f t="shared" si="47"/>
        <v>378.15</v>
      </c>
      <c r="F56" t="s">
        <v>24</v>
      </c>
      <c r="G56" s="1">
        <v>0.252</v>
      </c>
      <c r="H56" t="s">
        <v>23</v>
      </c>
      <c r="I56" s="1">
        <v>0.24</v>
      </c>
      <c r="J56" t="s">
        <v>32</v>
      </c>
      <c r="K56" s="1">
        <v>0.25</v>
      </c>
      <c r="L56" t="s">
        <v>33</v>
      </c>
      <c r="M56" s="1">
        <v>1.72</v>
      </c>
      <c r="N56">
        <v>0</v>
      </c>
      <c r="O56" s="1">
        <v>0</v>
      </c>
      <c r="P56" t="s">
        <v>105</v>
      </c>
      <c r="Q56" s="1">
        <v>1.52</v>
      </c>
      <c r="R56" t="s">
        <v>60</v>
      </c>
      <c r="S56" s="1">
        <v>3.17</v>
      </c>
      <c r="T56" s="22" t="s">
        <v>131</v>
      </c>
      <c r="U56" s="1">
        <v>4.5</v>
      </c>
      <c r="V56" s="22">
        <v>0</v>
      </c>
      <c r="W56" s="1">
        <v>0</v>
      </c>
      <c r="X56" s="4">
        <f t="shared" si="0"/>
        <v>4.5</v>
      </c>
      <c r="Y56" s="1">
        <v>3.46</v>
      </c>
      <c r="Z56" s="1" t="s">
        <v>107</v>
      </c>
      <c r="AA56" s="1">
        <f t="shared" ref="AA56:AA57" si="48">5/60</f>
        <v>8.3333333333333329E-2</v>
      </c>
      <c r="AB56" s="1">
        <v>14.6</v>
      </c>
      <c r="AC56" s="22" t="s">
        <v>108</v>
      </c>
      <c r="AD56" s="27" t="s">
        <v>165</v>
      </c>
      <c r="AE56" s="26">
        <v>41</v>
      </c>
    </row>
    <row r="57" spans="1:32" ht="13.5" customHeight="1">
      <c r="A57" s="23" t="s">
        <v>139</v>
      </c>
      <c r="B57" s="24">
        <v>0.899732421578745</v>
      </c>
      <c r="C57" s="24">
        <v>3.8247210185954299</v>
      </c>
      <c r="D57" s="15">
        <f t="shared" si="47"/>
        <v>378.15</v>
      </c>
      <c r="E57" s="15">
        <f t="shared" si="47"/>
        <v>378.15</v>
      </c>
      <c r="F57" t="s">
        <v>24</v>
      </c>
      <c r="G57" s="1">
        <v>0.252</v>
      </c>
      <c r="H57" t="s">
        <v>23</v>
      </c>
      <c r="I57" s="1">
        <v>0.24</v>
      </c>
      <c r="J57" t="s">
        <v>35</v>
      </c>
      <c r="K57" s="1">
        <v>0.25</v>
      </c>
      <c r="L57" t="s">
        <v>33</v>
      </c>
      <c r="M57" s="1">
        <v>1.72</v>
      </c>
      <c r="N57">
        <v>0</v>
      </c>
      <c r="O57" s="1">
        <v>0</v>
      </c>
      <c r="P57" t="s">
        <v>105</v>
      </c>
      <c r="Q57" s="1">
        <v>1.52</v>
      </c>
      <c r="R57" t="s">
        <v>60</v>
      </c>
      <c r="S57" s="1">
        <v>3.17</v>
      </c>
      <c r="T57" s="22" t="s">
        <v>131</v>
      </c>
      <c r="U57" s="13">
        <v>4.5</v>
      </c>
      <c r="V57">
        <v>0</v>
      </c>
      <c r="W57" s="1">
        <v>0</v>
      </c>
      <c r="X57" s="4">
        <f t="shared" si="0"/>
        <v>4.5</v>
      </c>
      <c r="Y57" s="1">
        <v>2.87</v>
      </c>
      <c r="Z57" s="1" t="s">
        <v>107</v>
      </c>
      <c r="AA57" s="1">
        <f t="shared" si="48"/>
        <v>8.3333333333333329E-2</v>
      </c>
      <c r="AB57" s="1">
        <v>8</v>
      </c>
      <c r="AC57" s="22" t="s">
        <v>108</v>
      </c>
      <c r="AD57" s="27" t="s">
        <v>165</v>
      </c>
      <c r="AE57" s="26">
        <v>41</v>
      </c>
    </row>
    <row r="58" spans="1:32" ht="13.5" customHeight="1">
      <c r="A58" s="23" t="s">
        <v>113</v>
      </c>
      <c r="B58" s="24">
        <v>0.89025902942830903</v>
      </c>
      <c r="C58" s="24">
        <v>3.9623356974945101</v>
      </c>
      <c r="D58" s="15">
        <f t="shared" ref="D58:E59" si="49">150+273.15</f>
        <v>423.15</v>
      </c>
      <c r="E58" s="15">
        <f t="shared" si="49"/>
        <v>423.15</v>
      </c>
      <c r="F58" t="s">
        <v>24</v>
      </c>
      <c r="G58" s="1">
        <v>0.01</v>
      </c>
      <c r="H58" t="s">
        <v>44</v>
      </c>
      <c r="I58" s="1">
        <v>0.06</v>
      </c>
      <c r="J58" t="s">
        <v>37</v>
      </c>
      <c r="K58" s="1">
        <v>0.12</v>
      </c>
      <c r="L58" t="s">
        <v>27</v>
      </c>
      <c r="M58" s="1">
        <v>0</v>
      </c>
      <c r="N58">
        <v>0</v>
      </c>
      <c r="O58" s="1">
        <v>0</v>
      </c>
      <c r="P58" t="s">
        <v>166</v>
      </c>
      <c r="Q58" s="1">
        <v>2.42</v>
      </c>
      <c r="R58" t="s">
        <v>60</v>
      </c>
      <c r="S58" s="1">
        <v>3.96</v>
      </c>
      <c r="T58" s="22" t="s">
        <v>106</v>
      </c>
      <c r="U58" s="1">
        <v>10</v>
      </c>
      <c r="V58" t="s">
        <v>53</v>
      </c>
      <c r="W58" s="1">
        <v>0.4</v>
      </c>
      <c r="X58" s="4">
        <f t="shared" si="0"/>
        <v>10.4</v>
      </c>
      <c r="Y58" s="1">
        <v>2.3199999999999998</v>
      </c>
      <c r="Z58" s="1" t="s">
        <v>107</v>
      </c>
      <c r="AA58" s="1">
        <v>5</v>
      </c>
      <c r="AB58" s="1">
        <v>200</v>
      </c>
      <c r="AC58" s="22" t="s">
        <v>108</v>
      </c>
      <c r="AD58" s="27" t="s">
        <v>167</v>
      </c>
      <c r="AE58" s="26">
        <v>42</v>
      </c>
    </row>
    <row r="59" spans="1:32" ht="13.5" customHeight="1">
      <c r="A59" s="23" t="s">
        <v>113</v>
      </c>
      <c r="B59" s="24">
        <v>0.89613532665225804</v>
      </c>
      <c r="C59" s="24">
        <v>3.9623356974945101</v>
      </c>
      <c r="D59" s="15">
        <f t="shared" si="49"/>
        <v>423.15</v>
      </c>
      <c r="E59" s="15">
        <f t="shared" si="49"/>
        <v>423.15</v>
      </c>
      <c r="F59" t="s">
        <v>24</v>
      </c>
      <c r="G59" s="1">
        <v>0.01</v>
      </c>
      <c r="H59" t="s">
        <v>44</v>
      </c>
      <c r="I59" s="1">
        <v>0.06</v>
      </c>
      <c r="J59" t="s">
        <v>37</v>
      </c>
      <c r="K59" s="1">
        <v>0.12</v>
      </c>
      <c r="L59" t="s">
        <v>27</v>
      </c>
      <c r="M59" s="1">
        <v>0</v>
      </c>
      <c r="N59">
        <v>0</v>
      </c>
      <c r="O59" s="1">
        <v>0</v>
      </c>
      <c r="P59" t="s">
        <v>166</v>
      </c>
      <c r="Q59" s="1">
        <v>2.42</v>
      </c>
      <c r="R59" t="s">
        <v>60</v>
      </c>
      <c r="S59" s="1">
        <v>3.96</v>
      </c>
      <c r="T59" s="22" t="s">
        <v>106</v>
      </c>
      <c r="U59" s="1">
        <v>10</v>
      </c>
      <c r="V59" t="s">
        <v>53</v>
      </c>
      <c r="W59" s="1">
        <v>0.4</v>
      </c>
      <c r="X59" s="4">
        <f t="shared" si="0"/>
        <v>10.4</v>
      </c>
      <c r="Y59" s="1">
        <v>2.3199999999999998</v>
      </c>
      <c r="Z59" s="1" t="s">
        <v>153</v>
      </c>
      <c r="AA59" s="1">
        <v>5</v>
      </c>
      <c r="AB59" s="1">
        <v>15</v>
      </c>
      <c r="AC59" s="22" t="s">
        <v>108</v>
      </c>
      <c r="AD59" s="27" t="s">
        <v>167</v>
      </c>
      <c r="AE59" s="26">
        <v>42</v>
      </c>
    </row>
    <row r="60" spans="1:32" ht="13.5" customHeight="1">
      <c r="A60" s="23" t="s">
        <v>116</v>
      </c>
      <c r="B60" s="24">
        <v>0.97238162332112799</v>
      </c>
      <c r="C60" s="24">
        <v>3.8362877498517798</v>
      </c>
      <c r="D60" s="15">
        <f t="shared" ref="D60:E60" si="50">140+273.15</f>
        <v>413.15</v>
      </c>
      <c r="E60" s="15">
        <f t="shared" si="50"/>
        <v>413.15</v>
      </c>
      <c r="F60" t="s">
        <v>24</v>
      </c>
      <c r="G60" s="1">
        <v>0.3</v>
      </c>
      <c r="H60" t="s">
        <v>31</v>
      </c>
      <c r="I60" s="1">
        <v>0.3</v>
      </c>
      <c r="J60" t="s">
        <v>32</v>
      </c>
      <c r="K60" s="1">
        <v>0.3</v>
      </c>
      <c r="L60" t="s">
        <v>33</v>
      </c>
      <c r="M60" s="1">
        <v>2.54</v>
      </c>
      <c r="N60" t="s">
        <v>114</v>
      </c>
      <c r="O60" s="1">
        <v>0.67</v>
      </c>
      <c r="P60" t="s">
        <v>105</v>
      </c>
      <c r="Q60" s="1">
        <v>1.52</v>
      </c>
      <c r="R60" t="s">
        <v>60</v>
      </c>
      <c r="S60" s="1">
        <v>3.17</v>
      </c>
      <c r="T60" s="22" t="s">
        <v>106</v>
      </c>
      <c r="U60" s="1">
        <v>10</v>
      </c>
      <c r="V60">
        <v>0</v>
      </c>
      <c r="W60" s="1">
        <v>0</v>
      </c>
      <c r="X60" s="4">
        <f t="shared" si="0"/>
        <v>10</v>
      </c>
      <c r="Y60" s="1">
        <v>4.2</v>
      </c>
      <c r="Z60" s="1" t="s">
        <v>107</v>
      </c>
      <c r="AA60" s="1">
        <f>5/60</f>
        <v>8.3333333333333329E-2</v>
      </c>
      <c r="AB60" s="1">
        <v>8.4</v>
      </c>
      <c r="AC60" s="22" t="s">
        <v>108</v>
      </c>
      <c r="AD60" s="27" t="s">
        <v>168</v>
      </c>
      <c r="AE60" s="26">
        <v>43</v>
      </c>
    </row>
    <row r="61" spans="1:32" ht="13.5" customHeight="1">
      <c r="A61" s="23" t="s">
        <v>139</v>
      </c>
      <c r="B61" s="24">
        <v>0.905980563395264</v>
      </c>
      <c r="C61" s="24">
        <v>3.8247210185954299</v>
      </c>
      <c r="D61" s="15">
        <f t="shared" ref="D61:E62" si="51">145+273.15</f>
        <v>418.15</v>
      </c>
      <c r="E61" s="15">
        <f t="shared" si="51"/>
        <v>418.15</v>
      </c>
      <c r="F61" t="s">
        <v>19</v>
      </c>
      <c r="G61" s="1">
        <v>0.42599999999999999</v>
      </c>
      <c r="H61" t="s">
        <v>23</v>
      </c>
      <c r="I61" s="1">
        <v>0.3</v>
      </c>
      <c r="J61" t="s">
        <v>35</v>
      </c>
      <c r="K61" s="1">
        <v>0.3</v>
      </c>
      <c r="L61" t="s">
        <v>22</v>
      </c>
      <c r="M61" s="1">
        <v>1.58</v>
      </c>
      <c r="N61">
        <v>0</v>
      </c>
      <c r="O61" s="1">
        <v>0</v>
      </c>
      <c r="P61" t="s">
        <v>105</v>
      </c>
      <c r="Q61" s="1">
        <v>1.1200000000000001</v>
      </c>
      <c r="R61" t="s">
        <v>60</v>
      </c>
      <c r="S61" s="1">
        <v>5.39</v>
      </c>
      <c r="T61" s="22" t="s">
        <v>106</v>
      </c>
      <c r="U61" s="1">
        <v>6</v>
      </c>
      <c r="V61" s="22">
        <v>0</v>
      </c>
      <c r="W61" s="1">
        <v>0</v>
      </c>
      <c r="X61" s="4">
        <f t="shared" si="0"/>
        <v>6</v>
      </c>
      <c r="Y61" s="1">
        <v>3.4</v>
      </c>
      <c r="Z61" s="1" t="s">
        <v>153</v>
      </c>
      <c r="AA61" s="1">
        <f t="shared" ref="AA61:AA62" si="52">1/60</f>
        <v>1.6666666666666666E-2</v>
      </c>
      <c r="AB61" s="1">
        <v>8.5</v>
      </c>
      <c r="AC61" s="22" t="s">
        <v>108</v>
      </c>
      <c r="AD61" s="27" t="s">
        <v>169</v>
      </c>
      <c r="AE61" s="26">
        <v>44</v>
      </c>
    </row>
    <row r="62" spans="1:32" ht="13.5" customHeight="1">
      <c r="A62" s="23" t="s">
        <v>113</v>
      </c>
      <c r="B62" s="24">
        <v>0.89025902942830903</v>
      </c>
      <c r="C62" s="24">
        <v>3.9623356974945101</v>
      </c>
      <c r="D62" s="15">
        <f t="shared" si="51"/>
        <v>418.15</v>
      </c>
      <c r="E62" s="15">
        <f t="shared" si="51"/>
        <v>418.15</v>
      </c>
      <c r="F62" t="s">
        <v>19</v>
      </c>
      <c r="G62" s="1">
        <v>0.42599999999999999</v>
      </c>
      <c r="H62" t="s">
        <v>23</v>
      </c>
      <c r="I62" s="1">
        <v>0.3</v>
      </c>
      <c r="J62" t="s">
        <v>35</v>
      </c>
      <c r="K62" s="1">
        <v>0.3</v>
      </c>
      <c r="L62" t="s">
        <v>36</v>
      </c>
      <c r="M62" s="1">
        <v>1.52</v>
      </c>
      <c r="N62">
        <v>0</v>
      </c>
      <c r="O62" s="1">
        <v>0</v>
      </c>
      <c r="P62" t="s">
        <v>105</v>
      </c>
      <c r="Q62" s="1">
        <v>1.1200000000000001</v>
      </c>
      <c r="R62" t="s">
        <v>60</v>
      </c>
      <c r="S62" s="1">
        <v>5.39</v>
      </c>
      <c r="T62" s="22" t="s">
        <v>106</v>
      </c>
      <c r="U62" s="1">
        <v>6</v>
      </c>
      <c r="V62" s="22">
        <v>0</v>
      </c>
      <c r="W62" s="1">
        <v>0</v>
      </c>
      <c r="X62" s="4">
        <f t="shared" si="0"/>
        <v>6</v>
      </c>
      <c r="Y62" s="1">
        <v>2.91</v>
      </c>
      <c r="Z62" s="1" t="s">
        <v>153</v>
      </c>
      <c r="AA62" s="1">
        <f t="shared" si="52"/>
        <v>1.6666666666666666E-2</v>
      </c>
      <c r="AB62" s="1">
        <v>8.4</v>
      </c>
      <c r="AC62" s="22" t="s">
        <v>108</v>
      </c>
      <c r="AD62" s="27" t="s">
        <v>169</v>
      </c>
      <c r="AE62" s="26">
        <v>44</v>
      </c>
    </row>
    <row r="63" spans="1:32" ht="13.5" customHeight="1">
      <c r="A63" t="s">
        <v>111</v>
      </c>
      <c r="B63" s="1">
        <v>0.93688474778397102</v>
      </c>
      <c r="C63" s="1">
        <v>3.7931079634195402</v>
      </c>
      <c r="D63" s="15">
        <f t="shared" ref="D63:E63" si="53">115+273.15</f>
        <v>388.15</v>
      </c>
      <c r="E63" s="15">
        <f t="shared" si="53"/>
        <v>388.15</v>
      </c>
      <c r="F63" t="s">
        <v>24</v>
      </c>
      <c r="G63" s="1">
        <v>0.25</v>
      </c>
      <c r="H63" t="s">
        <v>23</v>
      </c>
      <c r="I63" s="1">
        <v>0.24</v>
      </c>
      <c r="J63" t="s">
        <v>32</v>
      </c>
      <c r="K63" s="1">
        <v>0.25</v>
      </c>
      <c r="L63" t="s">
        <v>33</v>
      </c>
      <c r="M63" s="1">
        <v>1.72</v>
      </c>
      <c r="N63">
        <v>0</v>
      </c>
      <c r="O63" s="1">
        <v>0</v>
      </c>
      <c r="P63" t="s">
        <v>105</v>
      </c>
      <c r="Q63" s="1">
        <v>0.5</v>
      </c>
      <c r="R63" t="s">
        <v>60</v>
      </c>
      <c r="S63" s="1">
        <v>1</v>
      </c>
      <c r="T63" t="s">
        <v>131</v>
      </c>
      <c r="U63" s="1">
        <v>4.5</v>
      </c>
      <c r="V63">
        <v>0</v>
      </c>
      <c r="W63" s="1">
        <v>0</v>
      </c>
      <c r="X63" s="4">
        <f t="shared" si="0"/>
        <v>4.5</v>
      </c>
      <c r="Y63" s="1">
        <v>3.4</v>
      </c>
      <c r="Z63" s="1" t="s">
        <v>153</v>
      </c>
      <c r="AA63" s="1">
        <f>10/60</f>
        <v>0.16666666666666666</v>
      </c>
      <c r="AB63" s="1">
        <v>14.6</v>
      </c>
      <c r="AC63" t="s">
        <v>108</v>
      </c>
      <c r="AD63" t="s">
        <v>170</v>
      </c>
      <c r="AE63" s="26">
        <v>45</v>
      </c>
    </row>
    <row r="64" spans="1:32" ht="13.5" customHeight="1">
      <c r="A64" t="s">
        <v>171</v>
      </c>
      <c r="B64" s="1">
        <v>0.95273334728292702</v>
      </c>
      <c r="C64" s="1">
        <v>3.9588091606527001</v>
      </c>
      <c r="D64" s="15">
        <f t="shared" ref="D64:E65" si="54">273.15+180</f>
        <v>453.15</v>
      </c>
      <c r="E64" s="15">
        <f t="shared" si="54"/>
        <v>453.15</v>
      </c>
      <c r="F64" t="s">
        <v>19</v>
      </c>
      <c r="G64" s="1">
        <v>0.71</v>
      </c>
      <c r="H64" t="s">
        <v>23</v>
      </c>
      <c r="I64" s="1">
        <v>0.5</v>
      </c>
      <c r="J64" t="s">
        <v>21</v>
      </c>
      <c r="K64" s="1">
        <v>0.5</v>
      </c>
      <c r="L64" t="s">
        <v>36</v>
      </c>
      <c r="M64" s="1">
        <v>3.79</v>
      </c>
      <c r="N64">
        <v>0</v>
      </c>
      <c r="O64" s="1">
        <v>0</v>
      </c>
      <c r="P64" t="s">
        <v>105</v>
      </c>
      <c r="Q64" s="1">
        <v>2</v>
      </c>
      <c r="R64" t="s">
        <v>60</v>
      </c>
      <c r="S64" s="1">
        <v>7.92</v>
      </c>
      <c r="T64" t="s">
        <v>106</v>
      </c>
      <c r="U64" s="1">
        <v>10</v>
      </c>
      <c r="V64">
        <v>0</v>
      </c>
      <c r="W64" s="1">
        <v>0</v>
      </c>
      <c r="X64" s="4">
        <f t="shared" si="0"/>
        <v>10</v>
      </c>
      <c r="Y64" s="1">
        <v>2.76</v>
      </c>
      <c r="Z64" s="1" t="s">
        <v>153</v>
      </c>
      <c r="AA64" s="1">
        <f t="shared" ref="AA64:AA65" si="55">30/60</f>
        <v>0.5</v>
      </c>
      <c r="AB64" s="1">
        <v>14.3</v>
      </c>
      <c r="AC64" t="s">
        <v>108</v>
      </c>
      <c r="AD64" t="s">
        <v>172</v>
      </c>
      <c r="AE64" s="28">
        <v>46</v>
      </c>
      <c r="AF64" s="26"/>
    </row>
    <row r="65" spans="1:32" ht="13.5" customHeight="1">
      <c r="A65" t="s">
        <v>110</v>
      </c>
      <c r="B65" s="1">
        <v>0.96637926762161497</v>
      </c>
      <c r="C65" s="1">
        <v>3.80174109782548</v>
      </c>
      <c r="D65" s="15">
        <f t="shared" si="54"/>
        <v>453.15</v>
      </c>
      <c r="E65" s="15">
        <f t="shared" si="54"/>
        <v>453.15</v>
      </c>
      <c r="F65" t="s">
        <v>19</v>
      </c>
      <c r="G65" s="1">
        <v>0.71</v>
      </c>
      <c r="H65" t="s">
        <v>23</v>
      </c>
      <c r="I65" s="1">
        <v>0.5</v>
      </c>
      <c r="J65" t="s">
        <v>21</v>
      </c>
      <c r="K65" s="1">
        <v>0.5</v>
      </c>
      <c r="L65" t="s">
        <v>22</v>
      </c>
      <c r="M65" s="1">
        <v>3.96</v>
      </c>
      <c r="N65">
        <v>0</v>
      </c>
      <c r="O65" s="1">
        <v>0</v>
      </c>
      <c r="P65" t="s">
        <v>105</v>
      </c>
      <c r="Q65" s="1">
        <v>2</v>
      </c>
      <c r="R65" t="s">
        <v>60</v>
      </c>
      <c r="S65" s="1">
        <v>7.92</v>
      </c>
      <c r="T65" t="s">
        <v>106</v>
      </c>
      <c r="U65" s="1">
        <v>10</v>
      </c>
      <c r="V65">
        <v>0</v>
      </c>
      <c r="W65" s="1">
        <v>0</v>
      </c>
      <c r="X65" s="4">
        <f t="shared" si="0"/>
        <v>10</v>
      </c>
      <c r="Y65" s="1">
        <v>3.4</v>
      </c>
      <c r="Z65" s="1" t="s">
        <v>153</v>
      </c>
      <c r="AA65" s="1">
        <f t="shared" si="55"/>
        <v>0.5</v>
      </c>
      <c r="AB65" s="1">
        <v>9.1</v>
      </c>
      <c r="AC65" t="s">
        <v>108</v>
      </c>
      <c r="AD65" t="s">
        <v>172</v>
      </c>
      <c r="AE65" s="26">
        <v>46</v>
      </c>
      <c r="AF65" s="26"/>
    </row>
    <row r="66" spans="1:32" ht="13.5" customHeight="1">
      <c r="A66" t="s">
        <v>139</v>
      </c>
      <c r="B66" s="1">
        <v>0.905980563395264</v>
      </c>
      <c r="C66" s="1">
        <v>3.8247210185954299</v>
      </c>
      <c r="D66" s="15">
        <f t="shared" ref="D66:E66" si="56">140+273.15</f>
        <v>413.15</v>
      </c>
      <c r="E66" s="15">
        <f t="shared" si="56"/>
        <v>413.15</v>
      </c>
      <c r="F66" t="s">
        <v>19</v>
      </c>
      <c r="G66" s="1">
        <v>0.71</v>
      </c>
      <c r="H66" t="s">
        <v>23</v>
      </c>
      <c r="I66" s="1">
        <v>0.5</v>
      </c>
      <c r="J66" t="s">
        <v>35</v>
      </c>
      <c r="K66" s="1">
        <v>0.5</v>
      </c>
      <c r="L66" t="s">
        <v>22</v>
      </c>
      <c r="M66" s="1">
        <v>2.7</v>
      </c>
      <c r="N66">
        <v>0</v>
      </c>
      <c r="O66" s="1">
        <v>0</v>
      </c>
      <c r="P66" t="s">
        <v>105</v>
      </c>
      <c r="Q66" s="1">
        <v>1.87</v>
      </c>
      <c r="R66" t="s">
        <v>60</v>
      </c>
      <c r="S66" s="1">
        <v>8.8699999999999992</v>
      </c>
      <c r="T66" t="s">
        <v>106</v>
      </c>
      <c r="U66" s="1">
        <v>10</v>
      </c>
      <c r="V66">
        <v>0</v>
      </c>
      <c r="W66" s="1">
        <v>0</v>
      </c>
      <c r="X66" s="4">
        <f>U66+W66</f>
        <v>10</v>
      </c>
      <c r="Y66" s="1">
        <v>3.4</v>
      </c>
      <c r="Z66" s="1" t="s">
        <v>153</v>
      </c>
      <c r="AA66" s="1">
        <f>10/60</f>
        <v>0.16666666666666666</v>
      </c>
      <c r="AB66" s="1">
        <v>11.8</v>
      </c>
      <c r="AC66" t="s">
        <v>108</v>
      </c>
      <c r="AD66" t="s">
        <v>170</v>
      </c>
      <c r="AE66" s="26">
        <v>47</v>
      </c>
      <c r="AF66" s="26"/>
    </row>
    <row r="67" spans="1:32" ht="13.5" customHeight="1">
      <c r="A67" t="s">
        <v>139</v>
      </c>
      <c r="B67" s="1">
        <v>0.899732421578745</v>
      </c>
      <c r="C67" s="1">
        <v>3.8247210185954299</v>
      </c>
      <c r="D67" s="15">
        <f>25+273.15</f>
        <v>298.14999999999998</v>
      </c>
      <c r="E67" s="15">
        <f>230+273.15</f>
        <v>503.15</v>
      </c>
      <c r="F67" t="s">
        <v>24</v>
      </c>
      <c r="G67" s="1">
        <v>0.08</v>
      </c>
      <c r="H67" t="s">
        <v>25</v>
      </c>
      <c r="I67" s="1">
        <v>0.2</v>
      </c>
      <c r="J67" t="s">
        <v>49</v>
      </c>
      <c r="K67" s="1">
        <v>0.1</v>
      </c>
      <c r="L67" t="s">
        <v>27</v>
      </c>
      <c r="M67" s="1">
        <v>0</v>
      </c>
      <c r="N67">
        <v>0</v>
      </c>
      <c r="O67" s="1">
        <v>0</v>
      </c>
      <c r="P67" t="s">
        <v>105</v>
      </c>
      <c r="Q67" s="1">
        <v>3.95</v>
      </c>
      <c r="R67" t="s">
        <v>60</v>
      </c>
      <c r="S67" s="1">
        <v>3.17</v>
      </c>
      <c r="T67" t="s">
        <v>106</v>
      </c>
      <c r="U67" s="1">
        <v>4</v>
      </c>
      <c r="V67" t="s">
        <v>28</v>
      </c>
      <c r="W67" s="1">
        <v>0.1</v>
      </c>
      <c r="X67" s="4">
        <f>U67+W67</f>
        <v>4.0999999999999996</v>
      </c>
      <c r="Y67" s="1">
        <v>3.3</v>
      </c>
      <c r="Z67" s="1" t="s">
        <v>153</v>
      </c>
      <c r="AA67" s="1">
        <v>10</v>
      </c>
      <c r="AB67" s="1">
        <v>120</v>
      </c>
      <c r="AC67" t="s">
        <v>108</v>
      </c>
      <c r="AD67" t="s">
        <v>129</v>
      </c>
      <c r="AE67" s="26">
        <v>48</v>
      </c>
    </row>
    <row r="68" spans="1:32" ht="13.5" customHeight="1">
      <c r="A68" t="s">
        <v>133</v>
      </c>
      <c r="B68" s="1">
        <v>0.94082596967969701</v>
      </c>
      <c r="C68" s="1">
        <v>3.8183357339347599</v>
      </c>
      <c r="D68" s="15">
        <f>110+273.15</f>
        <v>383.15</v>
      </c>
      <c r="E68" s="15">
        <f>110+273.15</f>
        <v>383.15</v>
      </c>
      <c r="F68" t="s">
        <v>19</v>
      </c>
      <c r="G68" s="1">
        <v>0.72</v>
      </c>
      <c r="H68" t="s">
        <v>43</v>
      </c>
      <c r="I68" s="1">
        <v>0.18</v>
      </c>
      <c r="J68" t="s">
        <v>35</v>
      </c>
      <c r="K68" s="1">
        <v>0.36</v>
      </c>
      <c r="L68" t="s">
        <v>22</v>
      </c>
      <c r="M68" s="1">
        <v>2.16</v>
      </c>
      <c r="N68">
        <v>0</v>
      </c>
      <c r="O68" s="1">
        <v>0</v>
      </c>
      <c r="P68" t="s">
        <v>105</v>
      </c>
      <c r="Q68" s="1">
        <v>2.13</v>
      </c>
      <c r="R68" t="s">
        <v>60</v>
      </c>
      <c r="S68" s="1">
        <v>7.92</v>
      </c>
      <c r="T68" t="s">
        <v>106</v>
      </c>
      <c r="U68" s="1">
        <v>10</v>
      </c>
      <c r="V68">
        <v>0</v>
      </c>
      <c r="W68" s="1">
        <v>0</v>
      </c>
      <c r="X68" s="4">
        <f>U68+W68</f>
        <v>10</v>
      </c>
      <c r="Y68" s="1">
        <v>3.73</v>
      </c>
      <c r="Z68" s="1" t="s">
        <v>153</v>
      </c>
      <c r="AA68" s="1">
        <v>1</v>
      </c>
      <c r="AB68" s="1">
        <v>17.5</v>
      </c>
      <c r="AC68" t="s">
        <v>108</v>
      </c>
      <c r="AD68" t="s">
        <v>173</v>
      </c>
      <c r="AE68" s="26">
        <v>49</v>
      </c>
    </row>
    <row r="69" spans="1:32" ht="13.5" customHeight="1">
      <c r="A69" s="23" t="s">
        <v>111</v>
      </c>
      <c r="B69" s="1">
        <v>0.93688474778397102</v>
      </c>
      <c r="C69" s="1">
        <v>3.7931079634195402</v>
      </c>
      <c r="D69" s="15">
        <f>170+273.15</f>
        <v>443.15</v>
      </c>
      <c r="E69" s="15">
        <f t="shared" ref="E69:E73" si="57">180+273.15</f>
        <v>453.15</v>
      </c>
      <c r="F69" t="s">
        <v>19</v>
      </c>
      <c r="G69" s="1">
        <v>0.71</v>
      </c>
      <c r="H69" t="s">
        <v>23</v>
      </c>
      <c r="I69" s="1">
        <v>0.5</v>
      </c>
      <c r="J69" t="s">
        <v>32</v>
      </c>
      <c r="K69" s="1">
        <v>0.5</v>
      </c>
      <c r="L69" t="s">
        <v>22</v>
      </c>
      <c r="M69" s="1">
        <v>2.7</v>
      </c>
      <c r="N69">
        <v>0</v>
      </c>
      <c r="O69" s="1">
        <v>0</v>
      </c>
      <c r="P69" t="s">
        <v>105</v>
      </c>
      <c r="Q69" s="1">
        <v>2.0099999999999998</v>
      </c>
      <c r="R69" t="s">
        <v>60</v>
      </c>
      <c r="S69" s="1">
        <v>8.8699999999999992</v>
      </c>
      <c r="T69" t="s">
        <v>106</v>
      </c>
      <c r="U69" s="1">
        <v>10</v>
      </c>
      <c r="V69">
        <v>0</v>
      </c>
      <c r="W69" s="1">
        <v>0</v>
      </c>
      <c r="X69" s="4">
        <f>U69+W69</f>
        <v>10</v>
      </c>
      <c r="Y69" s="1">
        <v>4.9000000000000004</v>
      </c>
      <c r="Z69" s="1" t="s">
        <v>153</v>
      </c>
      <c r="AA69" s="1">
        <v>8</v>
      </c>
      <c r="AB69" s="1">
        <v>12.8</v>
      </c>
      <c r="AC69" t="s">
        <v>108</v>
      </c>
      <c r="AD69" t="s">
        <v>174</v>
      </c>
      <c r="AE69" s="26">
        <v>50</v>
      </c>
    </row>
    <row r="70" spans="1:32" ht="13.5" customHeight="1">
      <c r="A70" s="23" t="s">
        <v>111</v>
      </c>
      <c r="B70" s="1">
        <v>0.93688474778397102</v>
      </c>
      <c r="C70" s="1">
        <v>3.7931079634195402</v>
      </c>
      <c r="D70" s="15">
        <f>170+273.15</f>
        <v>443.15</v>
      </c>
      <c r="E70" s="15">
        <f t="shared" si="57"/>
        <v>453.15</v>
      </c>
      <c r="F70" t="s">
        <v>19</v>
      </c>
      <c r="G70" s="1">
        <v>0.71</v>
      </c>
      <c r="H70" t="s">
        <v>23</v>
      </c>
      <c r="I70" s="1">
        <v>0.5</v>
      </c>
      <c r="J70" t="s">
        <v>32</v>
      </c>
      <c r="K70" s="1">
        <v>0.5</v>
      </c>
      <c r="L70" t="s">
        <v>54</v>
      </c>
      <c r="M70" s="1">
        <v>0.67500000000000004</v>
      </c>
      <c r="N70">
        <v>0</v>
      </c>
      <c r="O70" s="1">
        <v>0</v>
      </c>
      <c r="P70" t="s">
        <v>105</v>
      </c>
      <c r="Q70" s="1">
        <v>2.0099999999999998</v>
      </c>
      <c r="R70" t="s">
        <v>60</v>
      </c>
      <c r="S70" s="1">
        <v>8.8699999999999992</v>
      </c>
      <c r="T70" t="s">
        <v>106</v>
      </c>
      <c r="U70" s="1">
        <v>10</v>
      </c>
      <c r="V70">
        <v>0</v>
      </c>
      <c r="W70" s="1">
        <v>0</v>
      </c>
      <c r="X70" s="4">
        <f t="shared" ref="X70:X133" si="58">U70+W70</f>
        <v>10</v>
      </c>
      <c r="Y70" s="1">
        <v>5</v>
      </c>
      <c r="Z70" s="1" t="s">
        <v>153</v>
      </c>
      <c r="AA70" s="1">
        <v>8</v>
      </c>
      <c r="AB70" s="1">
        <v>10</v>
      </c>
      <c r="AC70" t="s">
        <v>108</v>
      </c>
      <c r="AD70" t="s">
        <v>174</v>
      </c>
      <c r="AE70" s="26">
        <v>50</v>
      </c>
    </row>
    <row r="71" spans="1:32" ht="13.5" customHeight="1">
      <c r="A71" s="23" t="s">
        <v>175</v>
      </c>
      <c r="B71" s="1">
        <v>1.0132908825547</v>
      </c>
      <c r="C71" s="1">
        <v>4.09916438142701</v>
      </c>
      <c r="D71" s="15">
        <f>180+273.15</f>
        <v>453.15</v>
      </c>
      <c r="E71" s="15">
        <f t="shared" si="57"/>
        <v>453.15</v>
      </c>
      <c r="F71" t="s">
        <v>19</v>
      </c>
      <c r="G71" s="1">
        <v>0.71</v>
      </c>
      <c r="H71" t="s">
        <v>20</v>
      </c>
      <c r="I71" s="1">
        <v>0.25</v>
      </c>
      <c r="J71" t="s">
        <v>32</v>
      </c>
      <c r="K71" s="1">
        <v>0.5</v>
      </c>
      <c r="L71" t="s">
        <v>22</v>
      </c>
      <c r="M71" s="1">
        <v>3.94</v>
      </c>
      <c r="N71">
        <v>0</v>
      </c>
      <c r="O71" s="1">
        <v>0</v>
      </c>
      <c r="P71" t="s">
        <v>105</v>
      </c>
      <c r="Q71" s="1">
        <v>2.0099999999999998</v>
      </c>
      <c r="R71" t="s">
        <v>60</v>
      </c>
      <c r="S71" s="1">
        <v>7.92</v>
      </c>
      <c r="T71" t="s">
        <v>106</v>
      </c>
      <c r="U71" s="1">
        <v>10</v>
      </c>
      <c r="V71">
        <v>0</v>
      </c>
      <c r="W71" s="1">
        <v>0</v>
      </c>
      <c r="X71" s="4">
        <f t="shared" si="58"/>
        <v>10</v>
      </c>
      <c r="Y71" s="1">
        <v>3.82</v>
      </c>
      <c r="Z71" s="1" t="s">
        <v>107</v>
      </c>
      <c r="AA71" s="1">
        <v>1</v>
      </c>
      <c r="AB71" s="1">
        <v>17.100000000000001</v>
      </c>
      <c r="AC71" t="s">
        <v>108</v>
      </c>
      <c r="AD71" s="5" t="s">
        <v>176</v>
      </c>
      <c r="AE71" s="26">
        <v>51</v>
      </c>
    </row>
    <row r="72" spans="1:32" ht="13.5" customHeight="1">
      <c r="A72" s="23" t="s">
        <v>175</v>
      </c>
      <c r="B72" s="1">
        <v>1.0132908825547</v>
      </c>
      <c r="C72" s="1">
        <v>4.09916438142701</v>
      </c>
      <c r="D72" s="15">
        <f>180+273.15</f>
        <v>453.15</v>
      </c>
      <c r="E72" s="15">
        <f t="shared" si="57"/>
        <v>453.15</v>
      </c>
      <c r="F72" t="s">
        <v>19</v>
      </c>
      <c r="G72" s="1">
        <v>0.71</v>
      </c>
      <c r="H72" t="s">
        <v>20</v>
      </c>
      <c r="I72" s="1">
        <v>0.25</v>
      </c>
      <c r="J72" t="s">
        <v>32</v>
      </c>
      <c r="K72" s="1">
        <v>0.5</v>
      </c>
      <c r="L72" t="s">
        <v>22</v>
      </c>
      <c r="M72" s="1">
        <v>3.94</v>
      </c>
      <c r="N72">
        <v>0</v>
      </c>
      <c r="O72" s="1">
        <v>0</v>
      </c>
      <c r="P72" t="s">
        <v>105</v>
      </c>
      <c r="Q72" s="1">
        <v>2.0099999999999998</v>
      </c>
      <c r="R72" t="s">
        <v>60</v>
      </c>
      <c r="S72" s="1">
        <v>7.92</v>
      </c>
      <c r="T72" t="s">
        <v>106</v>
      </c>
      <c r="U72" s="1">
        <v>10</v>
      </c>
      <c r="V72">
        <v>0</v>
      </c>
      <c r="W72" s="1">
        <v>0</v>
      </c>
      <c r="X72" s="4">
        <f t="shared" si="58"/>
        <v>10</v>
      </c>
      <c r="Y72" s="1">
        <v>3.56</v>
      </c>
      <c r="Z72" s="1" t="s">
        <v>107</v>
      </c>
      <c r="AA72" s="1">
        <v>1</v>
      </c>
      <c r="AB72" s="1">
        <v>74.099999999999994</v>
      </c>
      <c r="AC72" t="s">
        <v>108</v>
      </c>
      <c r="AD72" t="s">
        <v>176</v>
      </c>
      <c r="AE72" s="26">
        <v>51</v>
      </c>
    </row>
    <row r="73" spans="1:32" ht="13.5" customHeight="1">
      <c r="A73" s="23" t="s">
        <v>130</v>
      </c>
      <c r="B73" s="24">
        <v>1.02122270942402</v>
      </c>
      <c r="C73" s="24">
        <v>4.15573282594519</v>
      </c>
      <c r="D73" s="15">
        <f>180+273.15</f>
        <v>453.15</v>
      </c>
      <c r="E73" s="15">
        <f t="shared" si="57"/>
        <v>453.15</v>
      </c>
      <c r="F73" t="s">
        <v>19</v>
      </c>
      <c r="G73" s="1">
        <v>0.35499999999999998</v>
      </c>
      <c r="H73" t="s">
        <v>20</v>
      </c>
      <c r="I73" s="1">
        <v>0.125</v>
      </c>
      <c r="J73" t="s">
        <v>21</v>
      </c>
      <c r="K73" s="1">
        <v>0.25</v>
      </c>
      <c r="L73" t="s">
        <v>22</v>
      </c>
      <c r="M73" s="1">
        <v>1.97</v>
      </c>
      <c r="N73">
        <v>0</v>
      </c>
      <c r="O73" s="1">
        <v>0</v>
      </c>
      <c r="P73" t="s">
        <v>105</v>
      </c>
      <c r="Q73" s="1">
        <v>2.0099999999999998</v>
      </c>
      <c r="R73" t="s">
        <v>60</v>
      </c>
      <c r="S73" s="1">
        <v>4.75</v>
      </c>
      <c r="T73" t="s">
        <v>106</v>
      </c>
      <c r="U73" s="1">
        <v>5</v>
      </c>
      <c r="V73">
        <v>0</v>
      </c>
      <c r="W73" s="1">
        <v>0</v>
      </c>
      <c r="X73" s="4">
        <f t="shared" si="58"/>
        <v>5</v>
      </c>
      <c r="Y73" s="1">
        <v>1.81</v>
      </c>
      <c r="Z73" s="1" t="s">
        <v>107</v>
      </c>
      <c r="AA73" s="1">
        <f>5/60</f>
        <v>8.3333333333333329E-2</v>
      </c>
      <c r="AB73" s="1">
        <v>13.4</v>
      </c>
      <c r="AC73" t="s">
        <v>108</v>
      </c>
      <c r="AD73" t="s">
        <v>177</v>
      </c>
      <c r="AE73" s="26">
        <v>52</v>
      </c>
    </row>
    <row r="74" spans="1:32" ht="13.5" customHeight="1">
      <c r="A74" s="23" t="s">
        <v>178</v>
      </c>
      <c r="B74" s="1">
        <v>1.03540635816602</v>
      </c>
      <c r="C74" s="1">
        <v>4.2685301364983799</v>
      </c>
      <c r="D74" s="15">
        <f>200+273.15</f>
        <v>473.15</v>
      </c>
      <c r="E74" s="15">
        <f>200+273.15</f>
        <v>473.15</v>
      </c>
      <c r="F74" t="s">
        <v>19</v>
      </c>
      <c r="G74" s="1">
        <v>0.71</v>
      </c>
      <c r="H74" t="s">
        <v>55</v>
      </c>
      <c r="I74" s="1">
        <v>0</v>
      </c>
      <c r="J74" t="s">
        <v>179</v>
      </c>
      <c r="K74" s="1">
        <v>0.71</v>
      </c>
      <c r="L74" t="s">
        <v>22</v>
      </c>
      <c r="M74" s="1">
        <v>3.15</v>
      </c>
      <c r="N74">
        <v>0</v>
      </c>
      <c r="O74" s="1">
        <v>0</v>
      </c>
      <c r="P74" t="s">
        <v>105</v>
      </c>
      <c r="Q74" s="1">
        <v>1.87</v>
      </c>
      <c r="R74" t="s">
        <v>60</v>
      </c>
      <c r="S74" s="1">
        <v>8.8699999999999992</v>
      </c>
      <c r="T74" t="s">
        <v>106</v>
      </c>
      <c r="U74" s="1">
        <v>10</v>
      </c>
      <c r="V74">
        <v>0</v>
      </c>
      <c r="W74" s="1">
        <v>0</v>
      </c>
      <c r="X74" s="4">
        <f t="shared" si="58"/>
        <v>10</v>
      </c>
      <c r="Y74" s="1">
        <v>4</v>
      </c>
      <c r="Z74" s="1" t="s">
        <v>153</v>
      </c>
      <c r="AA74" s="1">
        <v>5</v>
      </c>
      <c r="AB74" s="1">
        <v>20</v>
      </c>
      <c r="AC74" t="s">
        <v>108</v>
      </c>
      <c r="AD74" t="s">
        <v>180</v>
      </c>
      <c r="AE74" s="26">
        <v>53</v>
      </c>
    </row>
    <row r="75" spans="1:32" ht="13.5" customHeight="1">
      <c r="A75" s="23" t="s">
        <v>181</v>
      </c>
      <c r="B75" s="24">
        <v>0.89318751307774402</v>
      </c>
      <c r="C75" s="24">
        <v>4.1693332676940598</v>
      </c>
      <c r="D75" s="15">
        <f t="shared" ref="D75:E75" si="59">180+273.15</f>
        <v>453.15</v>
      </c>
      <c r="E75" s="15">
        <f t="shared" si="59"/>
        <v>453.15</v>
      </c>
      <c r="F75" t="s">
        <v>24</v>
      </c>
      <c r="G75" s="1">
        <v>3.5499999999999997E-2</v>
      </c>
      <c r="H75" t="s">
        <v>55</v>
      </c>
      <c r="I75" s="1">
        <v>0</v>
      </c>
      <c r="J75" t="s">
        <v>52</v>
      </c>
      <c r="K75" s="1">
        <v>0.38</v>
      </c>
      <c r="L75" t="s">
        <v>27</v>
      </c>
      <c r="M75" s="1">
        <v>0</v>
      </c>
      <c r="N75">
        <v>0</v>
      </c>
      <c r="O75" s="1">
        <v>0</v>
      </c>
      <c r="P75" t="s">
        <v>105</v>
      </c>
      <c r="Q75" s="1">
        <v>3.04</v>
      </c>
      <c r="R75" t="s">
        <v>60</v>
      </c>
      <c r="S75" s="1">
        <v>3.3</v>
      </c>
      <c r="T75" t="s">
        <v>106</v>
      </c>
      <c r="U75" s="1">
        <v>10.56</v>
      </c>
      <c r="V75">
        <v>0</v>
      </c>
      <c r="W75" s="1">
        <v>0</v>
      </c>
      <c r="X75" s="4">
        <f t="shared" si="58"/>
        <v>10.56</v>
      </c>
      <c r="Y75" s="1">
        <v>1.96</v>
      </c>
      <c r="Z75" s="1" t="s">
        <v>153</v>
      </c>
      <c r="AA75" s="1">
        <f>5/60</f>
        <v>8.3333333333333329E-2</v>
      </c>
      <c r="AB75" s="1">
        <v>40</v>
      </c>
      <c r="AC75" t="s">
        <v>108</v>
      </c>
      <c r="AD75" s="27" t="s">
        <v>182</v>
      </c>
      <c r="AE75" s="26">
        <v>54</v>
      </c>
    </row>
    <row r="76" spans="1:32" ht="13.5" customHeight="1">
      <c r="A76" s="23" t="s">
        <v>183</v>
      </c>
      <c r="B76" s="24">
        <v>0.99826839696924397</v>
      </c>
      <c r="C76" s="24">
        <v>4.3101615237850002</v>
      </c>
      <c r="D76" s="15">
        <f t="shared" ref="D76:E76" si="60">210+273.15</f>
        <v>483.15</v>
      </c>
      <c r="E76" s="15">
        <f t="shared" si="60"/>
        <v>483.15</v>
      </c>
      <c r="F76" t="s">
        <v>24</v>
      </c>
      <c r="G76" s="1">
        <v>2.5</v>
      </c>
      <c r="H76" t="s">
        <v>55</v>
      </c>
      <c r="I76" s="1">
        <v>0</v>
      </c>
      <c r="J76" t="s">
        <v>184</v>
      </c>
      <c r="K76" s="1">
        <v>0.2</v>
      </c>
      <c r="L76" t="s">
        <v>27</v>
      </c>
      <c r="M76" s="1">
        <v>0</v>
      </c>
      <c r="N76">
        <v>0</v>
      </c>
      <c r="O76" s="1">
        <v>0</v>
      </c>
      <c r="P76" t="s">
        <v>105</v>
      </c>
      <c r="Q76" s="1">
        <v>1.52</v>
      </c>
      <c r="R76" t="s">
        <v>53</v>
      </c>
      <c r="S76" s="1">
        <v>56.77</v>
      </c>
      <c r="T76" s="22" t="s">
        <v>106</v>
      </c>
      <c r="U76" s="1">
        <v>22.5</v>
      </c>
      <c r="V76" s="22">
        <v>0</v>
      </c>
      <c r="W76" s="1">
        <v>0</v>
      </c>
      <c r="X76" s="4">
        <f t="shared" si="58"/>
        <v>22.5</v>
      </c>
      <c r="Y76" s="1">
        <v>2.64</v>
      </c>
      <c r="Z76" s="1" t="s">
        <v>153</v>
      </c>
      <c r="AA76" s="1">
        <f t="shared" ref="AA76:AA77" si="61">30/60</f>
        <v>0.5</v>
      </c>
      <c r="AB76" s="1">
        <v>37</v>
      </c>
      <c r="AC76" s="22" t="s">
        <v>108</v>
      </c>
      <c r="AD76" s="27" t="s">
        <v>185</v>
      </c>
      <c r="AE76" s="26">
        <v>55</v>
      </c>
    </row>
    <row r="77" spans="1:32" ht="13.5" customHeight="1">
      <c r="A77" s="23" t="s">
        <v>181</v>
      </c>
      <c r="B77" s="24">
        <v>0.89318751307774402</v>
      </c>
      <c r="C77" s="24">
        <v>4.1693332676940598</v>
      </c>
      <c r="D77" s="15">
        <f t="shared" ref="D77:E77" si="62">120+273.15</f>
        <v>393.15</v>
      </c>
      <c r="E77" s="15">
        <f t="shared" si="62"/>
        <v>393.15</v>
      </c>
      <c r="F77" t="s">
        <v>24</v>
      </c>
      <c r="G77" s="1">
        <v>1.0999999999999999E-2</v>
      </c>
      <c r="H77" t="s">
        <v>55</v>
      </c>
      <c r="I77" s="1">
        <v>0</v>
      </c>
      <c r="J77" t="s">
        <v>52</v>
      </c>
      <c r="K77" s="1">
        <v>1.2E-2</v>
      </c>
      <c r="L77" t="s">
        <v>27</v>
      </c>
      <c r="M77" s="1">
        <v>0</v>
      </c>
      <c r="N77">
        <v>0</v>
      </c>
      <c r="O77" s="1">
        <v>0</v>
      </c>
      <c r="P77" t="s">
        <v>105</v>
      </c>
      <c r="Q77" s="1">
        <v>0.46</v>
      </c>
      <c r="R77" t="s">
        <v>60</v>
      </c>
      <c r="S77" s="1">
        <v>0.51</v>
      </c>
      <c r="T77" s="22" t="s">
        <v>106</v>
      </c>
      <c r="U77" s="1">
        <v>1.67</v>
      </c>
      <c r="V77" s="22">
        <v>0</v>
      </c>
      <c r="W77" s="1">
        <v>0</v>
      </c>
      <c r="X77" s="4">
        <f t="shared" si="58"/>
        <v>1.67</v>
      </c>
      <c r="Y77" s="1">
        <v>2.5299999999999998</v>
      </c>
      <c r="Z77" s="1" t="s">
        <v>153</v>
      </c>
      <c r="AA77" s="1">
        <f t="shared" si="61"/>
        <v>0.5</v>
      </c>
      <c r="AB77" s="1">
        <v>39.5</v>
      </c>
      <c r="AC77" s="22" t="s">
        <v>108</v>
      </c>
      <c r="AD77" s="27" t="s">
        <v>186</v>
      </c>
      <c r="AE77" s="26">
        <v>56</v>
      </c>
    </row>
    <row r="78" spans="1:32" ht="13.5" customHeight="1">
      <c r="A78" s="23" t="s">
        <v>181</v>
      </c>
      <c r="B78" s="24">
        <v>0.89318751307774402</v>
      </c>
      <c r="C78" s="24">
        <v>4.1693332676940598</v>
      </c>
      <c r="D78" s="15">
        <f t="shared" ref="D78:E79" si="63">180+273.15</f>
        <v>453.15</v>
      </c>
      <c r="E78" s="15">
        <f t="shared" si="63"/>
        <v>453.15</v>
      </c>
      <c r="F78" t="s">
        <v>24</v>
      </c>
      <c r="G78" s="1">
        <v>1.0740000000000001</v>
      </c>
      <c r="H78" t="s">
        <v>55</v>
      </c>
      <c r="I78" s="1">
        <v>0</v>
      </c>
      <c r="J78" t="s">
        <v>52</v>
      </c>
      <c r="K78" s="1">
        <v>0.17</v>
      </c>
      <c r="L78" t="s">
        <v>27</v>
      </c>
      <c r="M78" s="1">
        <v>0</v>
      </c>
      <c r="N78">
        <v>0</v>
      </c>
      <c r="O78" s="1">
        <v>0</v>
      </c>
      <c r="P78" t="s">
        <v>105</v>
      </c>
      <c r="Q78" s="1">
        <v>24.31</v>
      </c>
      <c r="R78" t="s">
        <v>60</v>
      </c>
      <c r="S78" s="1">
        <v>10.3</v>
      </c>
      <c r="T78" s="22" t="s">
        <v>106</v>
      </c>
      <c r="U78" s="1">
        <v>30</v>
      </c>
      <c r="V78" s="22">
        <v>0</v>
      </c>
      <c r="W78" s="1">
        <v>0</v>
      </c>
      <c r="X78" s="4">
        <f t="shared" si="58"/>
        <v>30</v>
      </c>
      <c r="Y78" s="1">
        <v>2.86</v>
      </c>
      <c r="Z78" s="1" t="s">
        <v>107</v>
      </c>
      <c r="AA78" s="1">
        <f t="shared" ref="AA78:AA79" si="64">10/60</f>
        <v>0.16666666666666666</v>
      </c>
      <c r="AB78" s="1">
        <v>5</v>
      </c>
      <c r="AC78" s="22" t="s">
        <v>108</v>
      </c>
      <c r="AD78" s="27" t="s">
        <v>187</v>
      </c>
      <c r="AE78" s="26">
        <v>57</v>
      </c>
    </row>
    <row r="79" spans="1:32" ht="13.5" customHeight="1">
      <c r="A79" s="23" t="s">
        <v>188</v>
      </c>
      <c r="B79" s="24">
        <v>0.85816055178057804</v>
      </c>
      <c r="C79" s="24">
        <v>4.3925824404203997</v>
      </c>
      <c r="D79" s="15">
        <f t="shared" si="63"/>
        <v>453.15</v>
      </c>
      <c r="E79" s="15">
        <f t="shared" si="63"/>
        <v>453.15</v>
      </c>
      <c r="F79" t="s">
        <v>58</v>
      </c>
      <c r="G79" s="1">
        <v>1.52</v>
      </c>
      <c r="H79" t="s">
        <v>55</v>
      </c>
      <c r="I79" s="1">
        <v>0</v>
      </c>
      <c r="J79" t="s">
        <v>52</v>
      </c>
      <c r="K79" s="1">
        <v>0.17</v>
      </c>
      <c r="L79" t="s">
        <v>27</v>
      </c>
      <c r="M79" s="1">
        <v>0</v>
      </c>
      <c r="N79">
        <v>0</v>
      </c>
      <c r="O79" s="1">
        <v>0</v>
      </c>
      <c r="P79" t="s">
        <v>105</v>
      </c>
      <c r="Q79" s="1">
        <v>24.31</v>
      </c>
      <c r="R79" t="s">
        <v>60</v>
      </c>
      <c r="S79" s="1">
        <v>10.3</v>
      </c>
      <c r="T79" t="s">
        <v>106</v>
      </c>
      <c r="U79" s="1">
        <v>30</v>
      </c>
      <c r="V79" s="22">
        <v>0</v>
      </c>
      <c r="W79" s="1">
        <v>0</v>
      </c>
      <c r="X79" s="4">
        <f t="shared" si="58"/>
        <v>30</v>
      </c>
      <c r="Y79" s="1">
        <v>2.2799999999999998</v>
      </c>
      <c r="Z79" s="1" t="s">
        <v>153</v>
      </c>
      <c r="AA79" s="1">
        <f t="shared" si="64"/>
        <v>0.16666666666666666</v>
      </c>
      <c r="AB79" s="1">
        <v>4.5</v>
      </c>
      <c r="AC79" s="22" t="s">
        <v>108</v>
      </c>
      <c r="AD79" s="27" t="s">
        <v>187</v>
      </c>
      <c r="AE79" s="26">
        <v>57</v>
      </c>
    </row>
    <row r="80" spans="1:32" ht="13.5" customHeight="1">
      <c r="A80" s="23" t="s">
        <v>181</v>
      </c>
      <c r="B80" s="24">
        <v>0.89318751307774402</v>
      </c>
      <c r="C80" s="24">
        <v>4.1693332676940598</v>
      </c>
      <c r="D80" s="15">
        <f t="shared" ref="D80:E82" si="65">160+273.15</f>
        <v>433.15</v>
      </c>
      <c r="E80" s="15">
        <f t="shared" si="65"/>
        <v>433.15</v>
      </c>
      <c r="F80" t="s">
        <v>19</v>
      </c>
      <c r="G80" s="1">
        <v>0.13</v>
      </c>
      <c r="H80" t="s">
        <v>55</v>
      </c>
      <c r="I80" s="1">
        <v>0</v>
      </c>
      <c r="J80" t="s">
        <v>35</v>
      </c>
      <c r="K80" s="1">
        <v>0.5</v>
      </c>
      <c r="L80" t="s">
        <v>59</v>
      </c>
      <c r="M80" s="1">
        <v>1.76</v>
      </c>
      <c r="N80">
        <v>0</v>
      </c>
      <c r="O80" s="1">
        <v>0</v>
      </c>
      <c r="P80" t="s">
        <v>105</v>
      </c>
      <c r="Q80" s="1">
        <v>0.56000000000000005</v>
      </c>
      <c r="R80" t="s">
        <v>60</v>
      </c>
      <c r="S80" s="1">
        <v>7.08</v>
      </c>
      <c r="T80" t="s">
        <v>106</v>
      </c>
      <c r="U80" s="1">
        <v>3.8</v>
      </c>
      <c r="V80" s="22">
        <v>0</v>
      </c>
      <c r="W80" s="1">
        <v>0</v>
      </c>
      <c r="X80" s="4">
        <f t="shared" si="58"/>
        <v>3.8</v>
      </c>
      <c r="Y80" s="1">
        <v>2.58</v>
      </c>
      <c r="Z80" s="1" t="s">
        <v>153</v>
      </c>
      <c r="AA80" s="1">
        <f t="shared" ref="AA80:AA82" si="66">15/60</f>
        <v>0.25</v>
      </c>
      <c r="AB80" s="1">
        <v>24.9</v>
      </c>
      <c r="AC80" s="22" t="s">
        <v>108</v>
      </c>
      <c r="AD80" s="27" t="s">
        <v>189</v>
      </c>
      <c r="AE80" s="26">
        <v>58</v>
      </c>
    </row>
    <row r="81" spans="1:31" ht="13.5" customHeight="1">
      <c r="A81" s="23" t="s">
        <v>190</v>
      </c>
      <c r="B81" s="24">
        <v>0.91874085302054898</v>
      </c>
      <c r="C81" s="24">
        <v>3.7906924909950299</v>
      </c>
      <c r="D81" s="15">
        <f t="shared" si="65"/>
        <v>433.15</v>
      </c>
      <c r="E81" s="15">
        <f t="shared" si="65"/>
        <v>433.15</v>
      </c>
      <c r="F81" t="s">
        <v>19</v>
      </c>
      <c r="G81" s="1">
        <v>0.25</v>
      </c>
      <c r="H81" t="s">
        <v>55</v>
      </c>
      <c r="I81" s="1">
        <v>0</v>
      </c>
      <c r="J81" t="s">
        <v>35</v>
      </c>
      <c r="K81" s="1">
        <v>0.5</v>
      </c>
      <c r="L81" t="s">
        <v>22</v>
      </c>
      <c r="M81" s="1">
        <v>3.94</v>
      </c>
      <c r="N81">
        <v>0</v>
      </c>
      <c r="O81" s="1">
        <v>0</v>
      </c>
      <c r="P81" t="s">
        <v>105</v>
      </c>
      <c r="Q81" s="1">
        <v>0.93</v>
      </c>
      <c r="R81" t="s">
        <v>60</v>
      </c>
      <c r="S81" s="1">
        <v>14.16</v>
      </c>
      <c r="T81" t="s">
        <v>106</v>
      </c>
      <c r="U81" s="1">
        <v>7.6</v>
      </c>
      <c r="V81" s="22">
        <v>0</v>
      </c>
      <c r="W81" s="1">
        <v>0</v>
      </c>
      <c r="X81" s="4">
        <f t="shared" si="58"/>
        <v>7.6</v>
      </c>
      <c r="Y81" s="1">
        <v>3.44</v>
      </c>
      <c r="Z81" s="1" t="s">
        <v>153</v>
      </c>
      <c r="AA81" s="1">
        <f t="shared" si="66"/>
        <v>0.25</v>
      </c>
      <c r="AB81" s="1">
        <v>22.5</v>
      </c>
      <c r="AC81" s="22" t="s">
        <v>108</v>
      </c>
      <c r="AD81" s="27" t="s">
        <v>189</v>
      </c>
      <c r="AE81" s="26">
        <v>58</v>
      </c>
    </row>
    <row r="82" spans="1:31" ht="13.5" customHeight="1">
      <c r="A82" s="23" t="s">
        <v>191</v>
      </c>
      <c r="B82" s="24">
        <v>0.90812375911583298</v>
      </c>
      <c r="C82" s="24">
        <v>3.9363235589561998</v>
      </c>
      <c r="D82" s="15">
        <f t="shared" si="65"/>
        <v>433.15</v>
      </c>
      <c r="E82" s="15">
        <f t="shared" si="65"/>
        <v>433.15</v>
      </c>
      <c r="F82" t="s">
        <v>19</v>
      </c>
      <c r="G82" s="1">
        <v>0.25</v>
      </c>
      <c r="H82" t="s">
        <v>55</v>
      </c>
      <c r="I82" s="1">
        <v>0</v>
      </c>
      <c r="J82" t="s">
        <v>35</v>
      </c>
      <c r="K82" s="1">
        <v>0.5</v>
      </c>
      <c r="L82" t="s">
        <v>36</v>
      </c>
      <c r="M82" s="1">
        <v>3.79</v>
      </c>
      <c r="N82">
        <v>0</v>
      </c>
      <c r="O82" s="1">
        <v>0</v>
      </c>
      <c r="P82" t="s">
        <v>105</v>
      </c>
      <c r="Q82" s="1">
        <v>0.93</v>
      </c>
      <c r="R82" t="s">
        <v>60</v>
      </c>
      <c r="S82" s="1">
        <v>14.16</v>
      </c>
      <c r="T82" t="s">
        <v>106</v>
      </c>
      <c r="U82" s="1">
        <v>7.6</v>
      </c>
      <c r="V82" s="22">
        <v>0</v>
      </c>
      <c r="W82" s="1">
        <v>0</v>
      </c>
      <c r="X82" s="4">
        <f t="shared" si="58"/>
        <v>7.6</v>
      </c>
      <c r="Y82" s="1">
        <v>2.88</v>
      </c>
      <c r="Z82" s="1" t="s">
        <v>153</v>
      </c>
      <c r="AA82" s="1">
        <f t="shared" si="66"/>
        <v>0.25</v>
      </c>
      <c r="AB82" s="1">
        <v>22.5</v>
      </c>
      <c r="AC82" s="22" t="s">
        <v>108</v>
      </c>
      <c r="AD82" s="27" t="s">
        <v>189</v>
      </c>
      <c r="AE82" s="26">
        <v>58</v>
      </c>
    </row>
    <row r="83" spans="1:31" ht="13.5" customHeight="1">
      <c r="A83" s="23" t="s">
        <v>191</v>
      </c>
      <c r="B83" s="24">
        <v>0.90812375911583298</v>
      </c>
      <c r="C83" s="24">
        <v>3.9363235589561998</v>
      </c>
      <c r="D83" s="15">
        <f t="shared" ref="D83:E85" si="67">210+273.15</f>
        <v>483.15</v>
      </c>
      <c r="E83" s="15">
        <f t="shared" si="67"/>
        <v>483.15</v>
      </c>
      <c r="F83" t="s">
        <v>24</v>
      </c>
      <c r="G83" s="1">
        <v>0.01</v>
      </c>
      <c r="H83" t="s">
        <v>55</v>
      </c>
      <c r="I83" s="1">
        <v>0</v>
      </c>
      <c r="J83" t="s">
        <v>37</v>
      </c>
      <c r="K83" s="1">
        <v>0.3</v>
      </c>
      <c r="L83" t="s">
        <v>27</v>
      </c>
      <c r="M83" s="1">
        <v>0</v>
      </c>
      <c r="N83">
        <v>0</v>
      </c>
      <c r="O83" s="1">
        <v>0</v>
      </c>
      <c r="P83" t="s">
        <v>105</v>
      </c>
      <c r="Q83" s="1">
        <v>30.39</v>
      </c>
      <c r="R83" t="s">
        <v>60</v>
      </c>
      <c r="S83" s="1">
        <v>34.85</v>
      </c>
      <c r="T83" s="22">
        <v>0</v>
      </c>
      <c r="U83" s="1">
        <v>0</v>
      </c>
      <c r="V83" s="22">
        <v>0</v>
      </c>
      <c r="W83" s="1">
        <v>0</v>
      </c>
      <c r="X83" s="4">
        <f t="shared" si="58"/>
        <v>0</v>
      </c>
      <c r="Y83" s="1">
        <v>2.83</v>
      </c>
      <c r="Z83" s="1" t="s">
        <v>153</v>
      </c>
      <c r="AA83" s="1">
        <v>1</v>
      </c>
      <c r="AB83" s="1">
        <v>17</v>
      </c>
      <c r="AC83" s="22" t="s">
        <v>108</v>
      </c>
      <c r="AD83" s="27" t="s">
        <v>192</v>
      </c>
      <c r="AE83" s="26">
        <v>59</v>
      </c>
    </row>
    <row r="84" spans="1:31" ht="13.5" customHeight="1">
      <c r="A84" s="23" t="s">
        <v>191</v>
      </c>
      <c r="B84" s="24">
        <v>0.90812375911583298</v>
      </c>
      <c r="C84" s="24">
        <v>3.9363235589561998</v>
      </c>
      <c r="D84" s="15">
        <f t="shared" si="67"/>
        <v>483.15</v>
      </c>
      <c r="E84" s="15">
        <f t="shared" si="67"/>
        <v>483.15</v>
      </c>
      <c r="F84" t="s">
        <v>24</v>
      </c>
      <c r="G84" s="1">
        <v>0.01</v>
      </c>
      <c r="H84" t="s">
        <v>55</v>
      </c>
      <c r="I84" s="1">
        <v>0</v>
      </c>
      <c r="J84" t="s">
        <v>37</v>
      </c>
      <c r="K84" s="1">
        <v>0.3</v>
      </c>
      <c r="L84" t="s">
        <v>27</v>
      </c>
      <c r="M84" s="1">
        <v>0</v>
      </c>
      <c r="N84">
        <v>0</v>
      </c>
      <c r="O84" s="1">
        <v>0</v>
      </c>
      <c r="P84" t="s">
        <v>105</v>
      </c>
      <c r="Q84" s="1">
        <v>30.39</v>
      </c>
      <c r="R84" t="s">
        <v>60</v>
      </c>
      <c r="S84" s="1">
        <v>34.85</v>
      </c>
      <c r="T84" s="22">
        <v>0</v>
      </c>
      <c r="U84" s="1">
        <v>0</v>
      </c>
      <c r="V84" s="22">
        <v>0</v>
      </c>
      <c r="W84" s="1">
        <v>0</v>
      </c>
      <c r="X84" s="4">
        <f t="shared" si="58"/>
        <v>0</v>
      </c>
      <c r="Y84" s="1">
        <v>2.79</v>
      </c>
      <c r="Z84" s="1" t="s">
        <v>153</v>
      </c>
      <c r="AA84" s="1">
        <v>5</v>
      </c>
      <c r="AB84" s="1">
        <v>23</v>
      </c>
      <c r="AC84" s="22" t="s">
        <v>108</v>
      </c>
      <c r="AD84" s="27" t="s">
        <v>192</v>
      </c>
      <c r="AE84" s="26">
        <v>59</v>
      </c>
    </row>
    <row r="85" spans="1:31" ht="13.5" customHeight="1">
      <c r="A85" s="23" t="s">
        <v>191</v>
      </c>
      <c r="B85" s="24">
        <v>0.90812375911583298</v>
      </c>
      <c r="C85" s="24">
        <v>3.9363235589561998</v>
      </c>
      <c r="D85" s="15">
        <f t="shared" si="67"/>
        <v>483.15</v>
      </c>
      <c r="E85" s="15">
        <f t="shared" si="67"/>
        <v>483.15</v>
      </c>
      <c r="F85" t="s">
        <v>24</v>
      </c>
      <c r="G85" s="1">
        <v>0.01</v>
      </c>
      <c r="H85" t="s">
        <v>55</v>
      </c>
      <c r="I85" s="1">
        <v>0</v>
      </c>
      <c r="J85" t="s">
        <v>37</v>
      </c>
      <c r="K85" s="1">
        <v>0.3</v>
      </c>
      <c r="L85" t="s">
        <v>27</v>
      </c>
      <c r="M85" s="1">
        <v>0</v>
      </c>
      <c r="N85">
        <v>0</v>
      </c>
      <c r="O85" s="1">
        <v>0</v>
      </c>
      <c r="P85" t="s">
        <v>105</v>
      </c>
      <c r="Q85" s="1">
        <v>30.39</v>
      </c>
      <c r="R85" t="s">
        <v>60</v>
      </c>
      <c r="S85" s="1">
        <v>34.85</v>
      </c>
      <c r="T85" s="22">
        <v>0</v>
      </c>
      <c r="U85" s="1">
        <v>0</v>
      </c>
      <c r="V85" s="22">
        <v>0</v>
      </c>
      <c r="W85" s="1">
        <v>0</v>
      </c>
      <c r="X85" s="4">
        <f t="shared" si="58"/>
        <v>0</v>
      </c>
      <c r="Y85" s="1">
        <v>2.78</v>
      </c>
      <c r="Z85" s="1" t="s">
        <v>153</v>
      </c>
      <c r="AA85" s="1">
        <v>10</v>
      </c>
      <c r="AB85" s="1">
        <v>40</v>
      </c>
      <c r="AC85" s="22" t="s">
        <v>108</v>
      </c>
      <c r="AD85" s="27" t="s">
        <v>192</v>
      </c>
      <c r="AE85" s="26">
        <v>59</v>
      </c>
    </row>
    <row r="86" spans="1:31" ht="13.5" customHeight="1">
      <c r="A86" s="23" t="s">
        <v>181</v>
      </c>
      <c r="B86" s="24">
        <v>0.89318751307774402</v>
      </c>
      <c r="C86" s="24">
        <v>4.1693332676940598</v>
      </c>
      <c r="D86" s="15">
        <f t="shared" ref="D86:E86" si="68">100+273.15</f>
        <v>373.15</v>
      </c>
      <c r="E86" s="15">
        <f t="shared" si="68"/>
        <v>373.15</v>
      </c>
      <c r="F86" t="s">
        <v>24</v>
      </c>
      <c r="G86" s="1">
        <v>6.0000000000000001E-3</v>
      </c>
      <c r="H86" t="s">
        <v>55</v>
      </c>
      <c r="I86" s="1">
        <v>0</v>
      </c>
      <c r="J86" t="s">
        <v>52</v>
      </c>
      <c r="K86" s="1">
        <v>6.2E-2</v>
      </c>
      <c r="L86" t="s">
        <v>27</v>
      </c>
      <c r="M86" s="1">
        <v>0</v>
      </c>
      <c r="N86">
        <v>0</v>
      </c>
      <c r="O86" s="1">
        <v>0</v>
      </c>
      <c r="P86" t="s">
        <v>105</v>
      </c>
      <c r="Q86" s="1">
        <v>0.52</v>
      </c>
      <c r="R86" t="s">
        <v>60</v>
      </c>
      <c r="S86" s="1">
        <v>0.56999999999999995</v>
      </c>
      <c r="T86" s="22" t="s">
        <v>106</v>
      </c>
      <c r="U86" s="1">
        <v>1.76</v>
      </c>
      <c r="V86" s="22">
        <v>0</v>
      </c>
      <c r="W86" s="1">
        <v>0</v>
      </c>
      <c r="X86" s="4">
        <f t="shared" si="58"/>
        <v>1.76</v>
      </c>
      <c r="Y86" s="1">
        <v>2.15</v>
      </c>
      <c r="Z86" s="1" t="s">
        <v>107</v>
      </c>
      <c r="AA86" s="1">
        <v>5</v>
      </c>
      <c r="AB86" s="1">
        <v>18</v>
      </c>
      <c r="AC86" s="22" t="s">
        <v>108</v>
      </c>
      <c r="AD86" s="27" t="s">
        <v>193</v>
      </c>
      <c r="AE86" s="26">
        <v>60</v>
      </c>
    </row>
    <row r="87" spans="1:31" ht="13.5" customHeight="1">
      <c r="A87" s="23" t="s">
        <v>191</v>
      </c>
      <c r="B87" s="24">
        <v>0.90812375911583298</v>
      </c>
      <c r="C87" s="24">
        <v>3.9363235589561998</v>
      </c>
      <c r="D87" s="15">
        <f t="shared" ref="D87:E87" si="69">170+273.15</f>
        <v>443.15</v>
      </c>
      <c r="E87" s="15">
        <f t="shared" si="69"/>
        <v>443.15</v>
      </c>
      <c r="F87" t="s">
        <v>24</v>
      </c>
      <c r="G87" s="1">
        <v>3.7999999999999999E-2</v>
      </c>
      <c r="H87" t="s">
        <v>55</v>
      </c>
      <c r="I87" s="1">
        <v>0</v>
      </c>
      <c r="J87" t="s">
        <v>37</v>
      </c>
      <c r="K87" s="1">
        <v>0.1</v>
      </c>
      <c r="L87" t="s">
        <v>27</v>
      </c>
      <c r="M87" s="1">
        <v>0</v>
      </c>
      <c r="N87" t="s">
        <v>114</v>
      </c>
      <c r="O87" s="1">
        <v>0.22</v>
      </c>
      <c r="P87" t="s">
        <v>105</v>
      </c>
      <c r="Q87" s="1">
        <v>1.82</v>
      </c>
      <c r="R87" t="s">
        <v>60</v>
      </c>
      <c r="S87" s="1">
        <v>1.9</v>
      </c>
      <c r="T87" s="22" t="s">
        <v>106</v>
      </c>
      <c r="U87" s="1">
        <v>8</v>
      </c>
      <c r="V87" s="22">
        <v>0</v>
      </c>
      <c r="W87" s="1">
        <v>0</v>
      </c>
      <c r="X87" s="4">
        <f t="shared" si="58"/>
        <v>8</v>
      </c>
      <c r="Y87" s="1">
        <v>2.72</v>
      </c>
      <c r="Z87" s="1" t="s">
        <v>107</v>
      </c>
      <c r="AA87" s="1">
        <f>2</f>
        <v>2</v>
      </c>
      <c r="AB87" s="1">
        <v>70</v>
      </c>
      <c r="AC87" s="22" t="s">
        <v>108</v>
      </c>
      <c r="AD87" s="27" t="s">
        <v>194</v>
      </c>
      <c r="AE87" s="26">
        <v>61</v>
      </c>
    </row>
    <row r="88" spans="1:31" ht="13.5" customHeight="1">
      <c r="A88" s="23" t="s">
        <v>181</v>
      </c>
      <c r="B88" s="24">
        <v>0.89318751307774402</v>
      </c>
      <c r="C88" s="24">
        <v>4.1693332676940598</v>
      </c>
      <c r="D88" s="15">
        <f t="shared" ref="D88:E88" si="70">180+273.15</f>
        <v>453.15</v>
      </c>
      <c r="E88" s="15">
        <f t="shared" si="70"/>
        <v>453.15</v>
      </c>
      <c r="F88" t="s">
        <v>24</v>
      </c>
      <c r="G88" s="1">
        <v>3.7999999999999999E-2</v>
      </c>
      <c r="H88" t="s">
        <v>55</v>
      </c>
      <c r="I88" s="1">
        <v>0</v>
      </c>
      <c r="J88" t="s">
        <v>52</v>
      </c>
      <c r="K88" s="1">
        <v>0.10150000000000001</v>
      </c>
      <c r="L88" t="s">
        <v>27</v>
      </c>
      <c r="M88" s="1">
        <v>0</v>
      </c>
      <c r="N88">
        <v>0</v>
      </c>
      <c r="O88" s="1">
        <v>0</v>
      </c>
      <c r="P88" t="s">
        <v>105</v>
      </c>
      <c r="Q88" s="1">
        <v>2.13</v>
      </c>
      <c r="R88" t="s">
        <v>60</v>
      </c>
      <c r="S88" s="1">
        <v>2.2200000000000002</v>
      </c>
      <c r="T88" s="22" t="s">
        <v>106</v>
      </c>
      <c r="U88" s="1">
        <v>8</v>
      </c>
      <c r="V88">
        <v>0</v>
      </c>
      <c r="W88" s="1">
        <v>0</v>
      </c>
      <c r="X88" s="4">
        <f t="shared" si="58"/>
        <v>8</v>
      </c>
      <c r="Y88" s="1">
        <v>1.97</v>
      </c>
      <c r="Z88" s="1" t="s">
        <v>107</v>
      </c>
      <c r="AA88" s="1">
        <v>2</v>
      </c>
      <c r="AB88" s="1">
        <v>90</v>
      </c>
      <c r="AC88" s="22" t="s">
        <v>108</v>
      </c>
      <c r="AD88" s="27" t="s">
        <v>194</v>
      </c>
      <c r="AE88" s="26">
        <v>61</v>
      </c>
    </row>
    <row r="89" spans="1:31" ht="13.5" customHeight="1">
      <c r="A89" s="29" t="s">
        <v>191</v>
      </c>
      <c r="B89" s="25">
        <v>0.90812375911583298</v>
      </c>
      <c r="C89" s="25">
        <v>3.9363235589561998</v>
      </c>
      <c r="D89" s="15">
        <f t="shared" ref="D89:E89" si="71">120+273.15</f>
        <v>393.15</v>
      </c>
      <c r="E89" s="15">
        <f t="shared" si="71"/>
        <v>393.15</v>
      </c>
      <c r="F89" t="s">
        <v>19</v>
      </c>
      <c r="G89" s="1">
        <v>0.71</v>
      </c>
      <c r="H89" t="s">
        <v>55</v>
      </c>
      <c r="I89" s="1">
        <v>0</v>
      </c>
      <c r="J89" s="29" t="s">
        <v>29</v>
      </c>
      <c r="K89" s="1">
        <v>1</v>
      </c>
      <c r="L89" s="17" t="s">
        <v>30</v>
      </c>
      <c r="M89" s="1">
        <v>8.42</v>
      </c>
      <c r="N89">
        <v>0</v>
      </c>
      <c r="O89" s="1">
        <v>0</v>
      </c>
      <c r="P89" t="s">
        <v>105</v>
      </c>
      <c r="Q89" s="1">
        <v>5.77</v>
      </c>
      <c r="R89" t="s">
        <v>60</v>
      </c>
      <c r="S89" s="1">
        <v>8.8699999999999992</v>
      </c>
      <c r="T89" t="s">
        <v>106</v>
      </c>
      <c r="U89" s="1">
        <v>11</v>
      </c>
      <c r="V89">
        <v>0</v>
      </c>
      <c r="W89" s="1">
        <v>0</v>
      </c>
      <c r="X89" s="4">
        <f t="shared" si="58"/>
        <v>11</v>
      </c>
      <c r="Y89" s="1">
        <v>2.74</v>
      </c>
      <c r="Z89" s="1" t="s">
        <v>107</v>
      </c>
      <c r="AA89" s="1">
        <f>10/60</f>
        <v>0.16666666666666666</v>
      </c>
      <c r="AB89" s="1">
        <v>3</v>
      </c>
      <c r="AC89" t="s">
        <v>108</v>
      </c>
      <c r="AD89" t="s">
        <v>195</v>
      </c>
      <c r="AE89" s="26">
        <v>62</v>
      </c>
    </row>
    <row r="90" spans="1:31" ht="13.5" customHeight="1">
      <c r="A90" s="30" t="s">
        <v>196</v>
      </c>
      <c r="B90" s="31">
        <v>0.99826839696924397</v>
      </c>
      <c r="C90" s="31">
        <v>4.3101615237850002</v>
      </c>
      <c r="D90" s="15">
        <f t="shared" ref="D90:E91" si="72">180+273.15</f>
        <v>453.15</v>
      </c>
      <c r="E90" s="15">
        <f t="shared" si="72"/>
        <v>453.15</v>
      </c>
      <c r="F90" t="s">
        <v>24</v>
      </c>
      <c r="G90" s="1">
        <v>0.03</v>
      </c>
      <c r="H90" t="s">
        <v>55</v>
      </c>
      <c r="I90" s="1">
        <v>0</v>
      </c>
      <c r="J90" s="32" t="s">
        <v>197</v>
      </c>
      <c r="K90" s="1">
        <v>0.1</v>
      </c>
      <c r="L90" t="s">
        <v>27</v>
      </c>
      <c r="M90" s="1">
        <v>0</v>
      </c>
      <c r="N90">
        <v>0</v>
      </c>
      <c r="O90" s="1">
        <v>0</v>
      </c>
      <c r="P90" t="s">
        <v>105</v>
      </c>
      <c r="Q90" s="1">
        <v>1.222</v>
      </c>
      <c r="R90" t="s">
        <v>53</v>
      </c>
      <c r="S90" s="1">
        <v>3.17</v>
      </c>
      <c r="T90" t="s">
        <v>106</v>
      </c>
      <c r="U90" s="1">
        <f t="shared" ref="U90:U91" si="73">10+0.27</f>
        <v>10.27</v>
      </c>
      <c r="V90" t="s">
        <v>60</v>
      </c>
      <c r="W90" s="1">
        <v>0.03</v>
      </c>
      <c r="X90" s="4">
        <f t="shared" si="58"/>
        <v>10.299999999999999</v>
      </c>
      <c r="Y90" s="1">
        <v>2.76</v>
      </c>
      <c r="Z90" s="1" t="s">
        <v>153</v>
      </c>
      <c r="AA90" s="1">
        <f>30/60</f>
        <v>0.5</v>
      </c>
      <c r="AB90" s="1">
        <v>25</v>
      </c>
      <c r="AC90" t="s">
        <v>108</v>
      </c>
      <c r="AD90" t="s">
        <v>198</v>
      </c>
      <c r="AE90" s="26">
        <v>63</v>
      </c>
    </row>
    <row r="91" spans="1:31" ht="13.5" customHeight="1">
      <c r="A91" s="32" t="s">
        <v>196</v>
      </c>
      <c r="B91" s="31">
        <v>0.99826839696924397</v>
      </c>
      <c r="C91" s="31">
        <v>4.3101615237850002</v>
      </c>
      <c r="D91" s="15">
        <f t="shared" si="72"/>
        <v>453.15</v>
      </c>
      <c r="E91" s="15">
        <f t="shared" si="72"/>
        <v>453.15</v>
      </c>
      <c r="F91" t="s">
        <v>24</v>
      </c>
      <c r="G91" s="1">
        <v>0.03</v>
      </c>
      <c r="H91" t="s">
        <v>55</v>
      </c>
      <c r="I91" s="1">
        <v>0</v>
      </c>
      <c r="J91" s="32" t="s">
        <v>197</v>
      </c>
      <c r="K91" s="1">
        <v>0.1</v>
      </c>
      <c r="L91" t="s">
        <v>27</v>
      </c>
      <c r="M91" s="1">
        <v>0</v>
      </c>
      <c r="N91">
        <v>0</v>
      </c>
      <c r="O91" s="1">
        <v>0</v>
      </c>
      <c r="P91" t="s">
        <v>105</v>
      </c>
      <c r="Q91" s="1">
        <v>1.22</v>
      </c>
      <c r="R91" t="s">
        <v>53</v>
      </c>
      <c r="S91" s="1">
        <v>3.17</v>
      </c>
      <c r="T91" t="s">
        <v>106</v>
      </c>
      <c r="U91" s="1">
        <f t="shared" si="73"/>
        <v>10.27</v>
      </c>
      <c r="V91" t="s">
        <v>60</v>
      </c>
      <c r="W91" s="1">
        <v>0.03</v>
      </c>
      <c r="X91" s="4">
        <f t="shared" si="58"/>
        <v>10.299999999999999</v>
      </c>
      <c r="Y91" s="1">
        <v>2.76</v>
      </c>
      <c r="Z91" s="1" t="s">
        <v>153</v>
      </c>
      <c r="AA91" s="1">
        <f>60/60</f>
        <v>1</v>
      </c>
      <c r="AB91" s="1">
        <v>25</v>
      </c>
      <c r="AC91" t="s">
        <v>108</v>
      </c>
      <c r="AD91" t="s">
        <v>198</v>
      </c>
      <c r="AE91" s="26">
        <v>63</v>
      </c>
    </row>
    <row r="92" spans="1:31" ht="13.5" customHeight="1">
      <c r="A92" t="s">
        <v>199</v>
      </c>
      <c r="B92" s="1">
        <v>1.0152622655946899</v>
      </c>
      <c r="C92" s="1">
        <v>4.1127931027323701</v>
      </c>
      <c r="D92" s="15">
        <f t="shared" ref="D92:E97" si="74">100+273.15</f>
        <v>373.15</v>
      </c>
      <c r="E92" s="15">
        <f t="shared" si="74"/>
        <v>373.15</v>
      </c>
      <c r="F92" t="s">
        <v>19</v>
      </c>
      <c r="G92" s="1">
        <v>7.4999999999999997E-2</v>
      </c>
      <c r="H92" t="s">
        <v>55</v>
      </c>
      <c r="I92" s="1">
        <v>0</v>
      </c>
      <c r="J92" t="s">
        <v>21</v>
      </c>
      <c r="K92" s="1">
        <v>0.05</v>
      </c>
      <c r="L92" t="s">
        <v>22</v>
      </c>
      <c r="M92" s="1">
        <v>0.22500000000000001</v>
      </c>
      <c r="N92">
        <v>0</v>
      </c>
      <c r="O92" s="1">
        <v>0</v>
      </c>
      <c r="P92">
        <v>0</v>
      </c>
      <c r="Q92" s="1">
        <v>0</v>
      </c>
      <c r="R92" t="s">
        <v>60</v>
      </c>
      <c r="S92" s="1">
        <v>1.58</v>
      </c>
      <c r="T92" t="s">
        <v>200</v>
      </c>
      <c r="U92" s="1">
        <v>5</v>
      </c>
      <c r="V92">
        <v>0</v>
      </c>
      <c r="W92" s="1">
        <v>0</v>
      </c>
      <c r="X92" s="4">
        <f t="shared" si="58"/>
        <v>5</v>
      </c>
      <c r="Y92" s="1">
        <v>3.15</v>
      </c>
      <c r="Z92" s="1" t="s">
        <v>107</v>
      </c>
      <c r="AA92" s="1">
        <f t="shared" ref="AA92:AA97" si="75">10/60</f>
        <v>0.16666666666666666</v>
      </c>
      <c r="AB92" s="1">
        <v>1.7</v>
      </c>
      <c r="AC92" t="s">
        <v>108</v>
      </c>
      <c r="AD92" t="s">
        <v>201</v>
      </c>
      <c r="AE92" s="26">
        <v>64</v>
      </c>
    </row>
    <row r="93" spans="1:31" ht="13.5" customHeight="1">
      <c r="A93" t="s">
        <v>183</v>
      </c>
      <c r="B93" s="1">
        <v>0.99826839696924397</v>
      </c>
      <c r="C93" s="1">
        <v>4.3101615237850002</v>
      </c>
      <c r="D93" s="15">
        <f t="shared" si="74"/>
        <v>373.15</v>
      </c>
      <c r="E93" s="15">
        <f t="shared" si="74"/>
        <v>373.15</v>
      </c>
      <c r="F93" t="s">
        <v>19</v>
      </c>
      <c r="G93" s="1">
        <v>7.4999999999999997E-2</v>
      </c>
      <c r="H93" t="s">
        <v>55</v>
      </c>
      <c r="I93" s="1">
        <v>0</v>
      </c>
      <c r="J93" t="s">
        <v>21</v>
      </c>
      <c r="K93" s="1">
        <v>0.05</v>
      </c>
      <c r="L93" t="s">
        <v>36</v>
      </c>
      <c r="M93" s="1">
        <v>0.22500000000000001</v>
      </c>
      <c r="N93">
        <v>0</v>
      </c>
      <c r="O93" s="1">
        <v>0</v>
      </c>
      <c r="P93">
        <v>0</v>
      </c>
      <c r="Q93" s="1">
        <v>0</v>
      </c>
      <c r="R93" t="s">
        <v>60</v>
      </c>
      <c r="S93" s="1">
        <v>1.58</v>
      </c>
      <c r="T93" t="s">
        <v>200</v>
      </c>
      <c r="U93" s="1">
        <v>5</v>
      </c>
      <c r="V93">
        <v>0</v>
      </c>
      <c r="W93" s="1">
        <v>0</v>
      </c>
      <c r="X93" s="4">
        <f t="shared" si="58"/>
        <v>5</v>
      </c>
      <c r="Y93" s="1">
        <v>2.5299999999999998</v>
      </c>
      <c r="Z93" s="1" t="s">
        <v>107</v>
      </c>
      <c r="AA93" s="1">
        <f t="shared" si="75"/>
        <v>0.16666666666666666</v>
      </c>
      <c r="AB93" s="1">
        <v>2.8</v>
      </c>
      <c r="AC93" t="s">
        <v>108</v>
      </c>
      <c r="AD93" t="s">
        <v>201</v>
      </c>
      <c r="AE93" s="26">
        <v>64</v>
      </c>
    </row>
    <row r="94" spans="1:31" ht="13.5" customHeight="1">
      <c r="A94" t="s">
        <v>202</v>
      </c>
      <c r="B94" s="1">
        <v>0.97466069839226799</v>
      </c>
      <c r="C94" s="1">
        <v>4.6259509974692099</v>
      </c>
      <c r="D94" s="15">
        <f t="shared" si="74"/>
        <v>373.15</v>
      </c>
      <c r="E94" s="15">
        <f t="shared" si="74"/>
        <v>373.15</v>
      </c>
      <c r="F94" t="s">
        <v>19</v>
      </c>
      <c r="G94" s="1">
        <v>7.4999999999999997E-2</v>
      </c>
      <c r="H94" t="s">
        <v>55</v>
      </c>
      <c r="I94" s="1">
        <v>0</v>
      </c>
      <c r="J94" t="s">
        <v>21</v>
      </c>
      <c r="K94" s="1">
        <v>0.05</v>
      </c>
      <c r="L94" s="20" t="s">
        <v>59</v>
      </c>
      <c r="M94" s="1">
        <v>0.22500000000000001</v>
      </c>
      <c r="N94">
        <v>0</v>
      </c>
      <c r="O94" s="1">
        <v>0</v>
      </c>
      <c r="P94">
        <v>0</v>
      </c>
      <c r="Q94" s="1">
        <v>0</v>
      </c>
      <c r="R94" t="s">
        <v>60</v>
      </c>
      <c r="S94" s="1">
        <v>1.58</v>
      </c>
      <c r="T94" t="s">
        <v>200</v>
      </c>
      <c r="U94" s="1">
        <v>5</v>
      </c>
      <c r="V94">
        <v>0</v>
      </c>
      <c r="W94" s="1">
        <v>0</v>
      </c>
      <c r="X94" s="4">
        <f t="shared" si="58"/>
        <v>5</v>
      </c>
      <c r="Y94" s="1">
        <v>1.97</v>
      </c>
      <c r="Z94" s="1" t="s">
        <v>107</v>
      </c>
      <c r="AA94" s="1">
        <f t="shared" si="75"/>
        <v>0.16666666666666666</v>
      </c>
      <c r="AB94" s="1">
        <v>2.2999999999999998</v>
      </c>
      <c r="AC94" t="s">
        <v>108</v>
      </c>
      <c r="AD94" t="s">
        <v>201</v>
      </c>
      <c r="AE94" s="26">
        <v>65</v>
      </c>
    </row>
    <row r="95" spans="1:31" ht="13.5" customHeight="1">
      <c r="A95" t="s">
        <v>190</v>
      </c>
      <c r="B95" s="1">
        <v>0.91874085302054898</v>
      </c>
      <c r="C95" s="1">
        <v>3.7906924909950299</v>
      </c>
      <c r="D95" s="15">
        <f t="shared" si="74"/>
        <v>373.15</v>
      </c>
      <c r="E95" s="15">
        <f t="shared" si="74"/>
        <v>373.15</v>
      </c>
      <c r="F95" t="s">
        <v>19</v>
      </c>
      <c r="G95" s="1">
        <v>7.4999999999999997E-2</v>
      </c>
      <c r="H95" t="s">
        <v>55</v>
      </c>
      <c r="I95" s="1">
        <v>0</v>
      </c>
      <c r="J95" t="s">
        <v>35</v>
      </c>
      <c r="K95" s="1">
        <v>0.05</v>
      </c>
      <c r="L95" t="s">
        <v>22</v>
      </c>
      <c r="M95" s="1">
        <v>0.22500000000000001</v>
      </c>
      <c r="N95">
        <v>0</v>
      </c>
      <c r="O95" s="1">
        <v>0</v>
      </c>
      <c r="P95">
        <v>0</v>
      </c>
      <c r="Q95" s="1">
        <v>0</v>
      </c>
      <c r="R95" t="s">
        <v>60</v>
      </c>
      <c r="S95" s="1">
        <v>1.58</v>
      </c>
      <c r="T95" t="s">
        <v>200</v>
      </c>
      <c r="U95" s="1">
        <v>5</v>
      </c>
      <c r="V95">
        <v>0</v>
      </c>
      <c r="W95" s="1">
        <v>0</v>
      </c>
      <c r="X95" s="4">
        <f t="shared" si="58"/>
        <v>5</v>
      </c>
      <c r="Y95" s="1">
        <v>3.09</v>
      </c>
      <c r="Z95" s="1" t="s">
        <v>107</v>
      </c>
      <c r="AA95" s="1">
        <f t="shared" si="75"/>
        <v>0.16666666666666666</v>
      </c>
      <c r="AB95" s="1">
        <v>2.9</v>
      </c>
      <c r="AC95" t="s">
        <v>108</v>
      </c>
      <c r="AD95" t="s">
        <v>201</v>
      </c>
      <c r="AE95" s="26">
        <v>65</v>
      </c>
    </row>
    <row r="96" spans="1:31" ht="13.5" customHeight="1">
      <c r="A96" t="s">
        <v>191</v>
      </c>
      <c r="B96" s="1">
        <v>0.90812375911583298</v>
      </c>
      <c r="C96" s="1">
        <v>3.9363235589561998</v>
      </c>
      <c r="D96" s="15">
        <f t="shared" si="74"/>
        <v>373.15</v>
      </c>
      <c r="E96" s="15">
        <f t="shared" si="74"/>
        <v>373.15</v>
      </c>
      <c r="F96" t="s">
        <v>19</v>
      </c>
      <c r="G96" s="1">
        <v>7.4999999999999997E-2</v>
      </c>
      <c r="H96" t="s">
        <v>55</v>
      </c>
      <c r="I96" s="1">
        <v>0</v>
      </c>
      <c r="J96" t="s">
        <v>35</v>
      </c>
      <c r="K96" s="1">
        <v>0.05</v>
      </c>
      <c r="L96" t="s">
        <v>36</v>
      </c>
      <c r="M96" s="1">
        <v>0.22500000000000001</v>
      </c>
      <c r="N96">
        <v>0</v>
      </c>
      <c r="O96" s="1">
        <v>0</v>
      </c>
      <c r="P96">
        <v>0</v>
      </c>
      <c r="Q96" s="1">
        <v>0</v>
      </c>
      <c r="R96" t="s">
        <v>60</v>
      </c>
      <c r="S96" s="1">
        <v>1.58</v>
      </c>
      <c r="T96" t="s">
        <v>200</v>
      </c>
      <c r="U96" s="1">
        <v>5</v>
      </c>
      <c r="V96">
        <v>0</v>
      </c>
      <c r="W96" s="1">
        <v>0</v>
      </c>
      <c r="X96" s="4">
        <f t="shared" si="58"/>
        <v>5</v>
      </c>
      <c r="Y96" s="1">
        <v>2.64</v>
      </c>
      <c r="Z96" s="1" t="s">
        <v>107</v>
      </c>
      <c r="AA96" s="1">
        <f t="shared" si="75"/>
        <v>0.16666666666666666</v>
      </c>
      <c r="AB96" s="1">
        <v>3.8</v>
      </c>
      <c r="AC96" t="s">
        <v>108</v>
      </c>
      <c r="AD96" t="s">
        <v>201</v>
      </c>
      <c r="AE96" s="26">
        <v>65</v>
      </c>
    </row>
    <row r="97" spans="1:31" ht="13.5" customHeight="1">
      <c r="A97" t="s">
        <v>181</v>
      </c>
      <c r="B97" s="1">
        <v>0.89318751307774402</v>
      </c>
      <c r="C97" s="1">
        <v>4.1693332676940598</v>
      </c>
      <c r="D97" s="15">
        <f t="shared" si="74"/>
        <v>373.15</v>
      </c>
      <c r="E97" s="15">
        <f t="shared" si="74"/>
        <v>373.15</v>
      </c>
      <c r="F97" t="s">
        <v>19</v>
      </c>
      <c r="G97" s="1">
        <v>7.4999999999999997E-2</v>
      </c>
      <c r="H97" t="s">
        <v>55</v>
      </c>
      <c r="I97" s="1">
        <v>0</v>
      </c>
      <c r="J97" t="s">
        <v>35</v>
      </c>
      <c r="K97" s="1">
        <v>0.05</v>
      </c>
      <c r="L97" s="20" t="s">
        <v>59</v>
      </c>
      <c r="M97" s="1">
        <v>0.22500000000000001</v>
      </c>
      <c r="N97">
        <v>0</v>
      </c>
      <c r="O97" s="1">
        <v>0</v>
      </c>
      <c r="P97">
        <v>0</v>
      </c>
      <c r="Q97" s="1">
        <v>0</v>
      </c>
      <c r="R97" t="s">
        <v>60</v>
      </c>
      <c r="S97" s="1">
        <v>1.58</v>
      </c>
      <c r="T97" t="s">
        <v>200</v>
      </c>
      <c r="U97" s="1">
        <v>5</v>
      </c>
      <c r="V97">
        <v>0</v>
      </c>
      <c r="W97" s="1">
        <v>0</v>
      </c>
      <c r="X97" s="4">
        <f t="shared" si="58"/>
        <v>5</v>
      </c>
      <c r="Y97" s="1">
        <v>2.0499999999999998</v>
      </c>
      <c r="Z97" s="1" t="s">
        <v>107</v>
      </c>
      <c r="AA97" s="1">
        <f t="shared" si="75"/>
        <v>0.16666666666666666</v>
      </c>
      <c r="AB97" s="1">
        <v>2.2999999999999998</v>
      </c>
      <c r="AC97" t="s">
        <v>108</v>
      </c>
      <c r="AD97" t="s">
        <v>201</v>
      </c>
      <c r="AE97" s="26">
        <v>65</v>
      </c>
    </row>
    <row r="98" spans="1:31" ht="13.5" customHeight="1">
      <c r="A98" s="32" t="s">
        <v>196</v>
      </c>
      <c r="B98" s="31">
        <v>0.99826839696924397</v>
      </c>
      <c r="C98" s="31">
        <v>4.3101615237850002</v>
      </c>
      <c r="D98" s="15">
        <f t="shared" ref="D98:E98" si="76">180+273.15</f>
        <v>453.15</v>
      </c>
      <c r="E98" s="15">
        <f t="shared" si="76"/>
        <v>453.15</v>
      </c>
      <c r="F98" t="s">
        <v>24</v>
      </c>
      <c r="G98" s="1">
        <v>0.03</v>
      </c>
      <c r="H98" t="s">
        <v>55</v>
      </c>
      <c r="I98" s="1">
        <v>0</v>
      </c>
      <c r="J98" s="32" t="s">
        <v>197</v>
      </c>
      <c r="K98" s="1">
        <v>0.1</v>
      </c>
      <c r="L98" t="s">
        <v>27</v>
      </c>
      <c r="M98" s="1">
        <v>0</v>
      </c>
      <c r="N98">
        <v>0</v>
      </c>
      <c r="O98" s="1">
        <v>0</v>
      </c>
      <c r="P98" t="s">
        <v>105</v>
      </c>
      <c r="Q98" s="1">
        <v>1.22</v>
      </c>
      <c r="R98" t="s">
        <v>53</v>
      </c>
      <c r="S98" s="1">
        <v>3.17</v>
      </c>
      <c r="T98" t="s">
        <v>106</v>
      </c>
      <c r="U98" s="1">
        <f>10+0.27</f>
        <v>10.27</v>
      </c>
      <c r="V98" t="s">
        <v>60</v>
      </c>
      <c r="W98" s="1">
        <v>0.03</v>
      </c>
      <c r="X98" s="4">
        <f t="shared" si="58"/>
        <v>10.299999999999999</v>
      </c>
      <c r="Y98" s="1">
        <v>2.76</v>
      </c>
      <c r="Z98" s="1" t="s">
        <v>153</v>
      </c>
      <c r="AA98" s="1">
        <f>300/60</f>
        <v>5</v>
      </c>
      <c r="AB98" s="1">
        <v>100</v>
      </c>
      <c r="AC98" t="s">
        <v>108</v>
      </c>
      <c r="AD98" t="s">
        <v>198</v>
      </c>
      <c r="AE98" s="26">
        <v>66</v>
      </c>
    </row>
    <row r="99" spans="1:31" ht="13.5" customHeight="1">
      <c r="A99" s="23" t="s">
        <v>203</v>
      </c>
      <c r="B99" s="24">
        <v>0.91874085302054898</v>
      </c>
      <c r="C99" s="24">
        <v>3.7906924909950299</v>
      </c>
      <c r="D99" s="15">
        <f t="shared" ref="D99:E99" si="77">160+273.15</f>
        <v>433.15</v>
      </c>
      <c r="E99" s="15">
        <f t="shared" si="77"/>
        <v>433.15</v>
      </c>
      <c r="F99" t="s">
        <v>19</v>
      </c>
      <c r="G99" s="1">
        <v>1</v>
      </c>
      <c r="H99" t="s">
        <v>55</v>
      </c>
      <c r="I99" s="1">
        <v>0</v>
      </c>
      <c r="J99" t="s">
        <v>35</v>
      </c>
      <c r="K99" s="1">
        <v>0.5</v>
      </c>
      <c r="L99" t="s">
        <v>22</v>
      </c>
      <c r="M99" s="1">
        <v>3</v>
      </c>
      <c r="N99">
        <v>0</v>
      </c>
      <c r="O99" s="1">
        <v>0</v>
      </c>
      <c r="P99" t="s">
        <v>105</v>
      </c>
      <c r="Q99" s="1">
        <v>7.48</v>
      </c>
      <c r="R99" t="s">
        <v>60</v>
      </c>
      <c r="S99" s="1">
        <v>7.08</v>
      </c>
      <c r="T99" t="s">
        <v>106</v>
      </c>
      <c r="U99" s="1">
        <v>10.14</v>
      </c>
      <c r="V99">
        <v>0</v>
      </c>
      <c r="W99" s="1">
        <v>0</v>
      </c>
      <c r="X99" s="4">
        <f t="shared" si="58"/>
        <v>10.14</v>
      </c>
      <c r="Y99" s="1">
        <v>3.65</v>
      </c>
      <c r="Z99" s="1" t="s">
        <v>153</v>
      </c>
      <c r="AA99" s="1">
        <f>15/60</f>
        <v>0.25</v>
      </c>
      <c r="AB99" s="1">
        <v>14.2</v>
      </c>
      <c r="AC99" t="s">
        <v>108</v>
      </c>
      <c r="AD99" s="27" t="s">
        <v>189</v>
      </c>
      <c r="AE99" s="26">
        <v>67</v>
      </c>
    </row>
    <row r="100" spans="1:31" ht="13.5" customHeight="1">
      <c r="A100" s="23" t="s">
        <v>204</v>
      </c>
      <c r="B100" s="24">
        <v>0.93186572234941401</v>
      </c>
      <c r="C100" s="24">
        <v>3.78933759529966</v>
      </c>
      <c r="D100" s="15">
        <f t="shared" ref="D100:E101" si="78">140+273.15</f>
        <v>413.15</v>
      </c>
      <c r="E100" s="15">
        <f t="shared" si="78"/>
        <v>413.15</v>
      </c>
      <c r="F100" t="s">
        <v>24</v>
      </c>
      <c r="G100" s="1">
        <v>0.11799999999999999</v>
      </c>
      <c r="H100" t="s">
        <v>55</v>
      </c>
      <c r="I100" s="1">
        <v>0</v>
      </c>
      <c r="J100" t="s">
        <v>61</v>
      </c>
      <c r="K100" s="1">
        <v>0.4</v>
      </c>
      <c r="L100" t="s">
        <v>27</v>
      </c>
      <c r="M100" s="1">
        <v>0</v>
      </c>
      <c r="N100">
        <v>0</v>
      </c>
      <c r="O100" s="1">
        <v>0</v>
      </c>
      <c r="P100" t="s">
        <v>105</v>
      </c>
      <c r="Q100" s="1">
        <v>6.08</v>
      </c>
      <c r="R100" t="s">
        <v>60</v>
      </c>
      <c r="S100" s="1">
        <v>6.72</v>
      </c>
      <c r="T100" t="s">
        <v>106</v>
      </c>
      <c r="U100" s="1">
        <v>21.88</v>
      </c>
      <c r="V100">
        <v>0</v>
      </c>
      <c r="W100" s="1">
        <v>0</v>
      </c>
      <c r="X100" s="4">
        <f t="shared" si="58"/>
        <v>21.88</v>
      </c>
      <c r="Y100" s="1">
        <v>2.4</v>
      </c>
      <c r="Z100" s="1" t="s">
        <v>153</v>
      </c>
      <c r="AA100" s="1">
        <f t="shared" ref="AA100:AA101" si="79">10/60</f>
        <v>0.16666666666666666</v>
      </c>
      <c r="AB100" s="1">
        <v>12.19</v>
      </c>
      <c r="AC100" t="s">
        <v>108</v>
      </c>
      <c r="AD100" s="27" t="s">
        <v>205</v>
      </c>
      <c r="AE100" s="26">
        <v>68</v>
      </c>
    </row>
    <row r="101" spans="1:31" ht="13.5" customHeight="1">
      <c r="A101" s="23" t="s">
        <v>206</v>
      </c>
      <c r="B101" s="24">
        <v>0.98380073904215304</v>
      </c>
      <c r="C101" s="24">
        <v>4.2004188215719198</v>
      </c>
      <c r="D101" s="15">
        <f t="shared" si="78"/>
        <v>413.15</v>
      </c>
      <c r="E101" s="15">
        <f t="shared" si="78"/>
        <v>413.15</v>
      </c>
      <c r="F101" t="s">
        <v>24</v>
      </c>
      <c r="G101" s="1">
        <v>4.9969999999999999</v>
      </c>
      <c r="H101" t="s">
        <v>55</v>
      </c>
      <c r="I101" s="1">
        <v>0</v>
      </c>
      <c r="J101" t="s">
        <v>62</v>
      </c>
      <c r="K101" s="1">
        <v>0.2</v>
      </c>
      <c r="L101" t="s">
        <v>27</v>
      </c>
      <c r="M101" s="1">
        <v>0</v>
      </c>
      <c r="N101">
        <v>0</v>
      </c>
      <c r="O101" s="1">
        <v>0</v>
      </c>
      <c r="P101" t="s">
        <v>105</v>
      </c>
      <c r="Q101" s="1">
        <v>1.52</v>
      </c>
      <c r="R101" t="s">
        <v>60</v>
      </c>
      <c r="S101" s="1">
        <v>17.420000000000002</v>
      </c>
      <c r="T101" t="s">
        <v>106</v>
      </c>
      <c r="U101" s="1">
        <v>25</v>
      </c>
      <c r="V101">
        <v>0</v>
      </c>
      <c r="W101" s="1">
        <v>0</v>
      </c>
      <c r="X101" s="4">
        <f t="shared" si="58"/>
        <v>25</v>
      </c>
      <c r="Y101" s="1">
        <v>3.08</v>
      </c>
      <c r="Z101" s="1" t="s">
        <v>107</v>
      </c>
      <c r="AA101" s="1">
        <f t="shared" si="79"/>
        <v>0.16666666666666666</v>
      </c>
      <c r="AB101" s="1">
        <v>20.5</v>
      </c>
      <c r="AC101" t="s">
        <v>108</v>
      </c>
      <c r="AD101" s="27" t="s">
        <v>207</v>
      </c>
      <c r="AE101" s="26">
        <v>69</v>
      </c>
    </row>
    <row r="102" spans="1:31" ht="13.5" customHeight="1">
      <c r="A102" s="23" t="s">
        <v>208</v>
      </c>
      <c r="B102" s="24">
        <v>1.0246377508514499</v>
      </c>
      <c r="C102" s="24">
        <v>4.5588689403428502</v>
      </c>
      <c r="D102" s="15">
        <f t="shared" ref="D102:E102" si="80">180+273.15</f>
        <v>453.15</v>
      </c>
      <c r="E102" s="15">
        <f t="shared" si="80"/>
        <v>453.15</v>
      </c>
      <c r="F102" t="s">
        <v>24</v>
      </c>
      <c r="G102" s="1">
        <v>4.7100000000000003E-2</v>
      </c>
      <c r="H102" t="s">
        <v>55</v>
      </c>
      <c r="I102" s="1">
        <v>0</v>
      </c>
      <c r="J102" t="s">
        <v>63</v>
      </c>
      <c r="K102" s="1">
        <v>0.68</v>
      </c>
      <c r="L102" t="s">
        <v>27</v>
      </c>
      <c r="M102" s="1">
        <v>0</v>
      </c>
      <c r="N102" t="s">
        <v>114</v>
      </c>
      <c r="O102" s="1">
        <v>2.2400000000000002</v>
      </c>
      <c r="P102" t="s">
        <v>105</v>
      </c>
      <c r="Q102" s="1">
        <v>1.82</v>
      </c>
      <c r="R102" t="s">
        <v>60</v>
      </c>
      <c r="S102" s="1">
        <v>2.06</v>
      </c>
      <c r="T102" t="s">
        <v>106</v>
      </c>
      <c r="U102" s="1">
        <v>10.75</v>
      </c>
      <c r="V102">
        <v>0</v>
      </c>
      <c r="W102" s="1">
        <v>0</v>
      </c>
      <c r="X102" s="4">
        <f t="shared" si="58"/>
        <v>10.75</v>
      </c>
      <c r="Y102" s="1">
        <v>3.78</v>
      </c>
      <c r="Z102" s="1" t="s">
        <v>107</v>
      </c>
      <c r="AA102" s="1">
        <v>1</v>
      </c>
      <c r="AB102" s="1">
        <v>58</v>
      </c>
      <c r="AC102" t="s">
        <v>108</v>
      </c>
      <c r="AD102" s="27" t="s">
        <v>209</v>
      </c>
      <c r="AE102" s="26">
        <v>70</v>
      </c>
    </row>
    <row r="103" spans="1:31" ht="13.5" customHeight="1">
      <c r="A103" s="23" t="s">
        <v>210</v>
      </c>
      <c r="B103" s="24">
        <v>1.0436896090313399</v>
      </c>
      <c r="C103" s="24">
        <v>4.3414776359950196</v>
      </c>
      <c r="D103" s="15">
        <f t="shared" ref="D103:E106" si="81">220+273.15</f>
        <v>493.15</v>
      </c>
      <c r="E103" s="15">
        <f t="shared" si="81"/>
        <v>493.15</v>
      </c>
      <c r="F103" t="s">
        <v>24</v>
      </c>
      <c r="G103" s="1">
        <v>0.16</v>
      </c>
      <c r="H103" t="s">
        <v>55</v>
      </c>
      <c r="I103" s="1">
        <v>0</v>
      </c>
      <c r="J103" t="s">
        <v>64</v>
      </c>
      <c r="K103" s="1">
        <v>0.36</v>
      </c>
      <c r="L103" t="s">
        <v>27</v>
      </c>
      <c r="M103" s="1">
        <v>0</v>
      </c>
      <c r="N103">
        <v>0</v>
      </c>
      <c r="O103" s="1">
        <v>0</v>
      </c>
      <c r="P103" t="s">
        <v>105</v>
      </c>
      <c r="Q103" s="1">
        <v>3.04</v>
      </c>
      <c r="R103" t="s">
        <v>60</v>
      </c>
      <c r="S103" s="1">
        <v>3.67</v>
      </c>
      <c r="T103" t="s">
        <v>106</v>
      </c>
      <c r="U103" s="1">
        <v>14.64</v>
      </c>
      <c r="V103">
        <v>0</v>
      </c>
      <c r="W103" s="1">
        <v>0</v>
      </c>
      <c r="X103" s="4">
        <f t="shared" si="58"/>
        <v>14.64</v>
      </c>
      <c r="Y103" s="1">
        <v>4.12</v>
      </c>
      <c r="Z103" s="1" t="s">
        <v>153</v>
      </c>
      <c r="AA103" s="1">
        <v>2</v>
      </c>
      <c r="AB103" s="1">
        <v>14.25</v>
      </c>
      <c r="AC103" t="s">
        <v>108</v>
      </c>
      <c r="AD103" s="27" t="s">
        <v>211</v>
      </c>
      <c r="AE103" s="26">
        <v>71</v>
      </c>
    </row>
    <row r="104" spans="1:31" ht="13.5" customHeight="1">
      <c r="A104" s="23" t="s">
        <v>208</v>
      </c>
      <c r="B104" s="24">
        <v>1.0246377508514499</v>
      </c>
      <c r="C104" s="24">
        <v>4.5588689403428502</v>
      </c>
      <c r="D104" s="15">
        <f t="shared" si="81"/>
        <v>493.15</v>
      </c>
      <c r="E104" s="15">
        <f t="shared" si="81"/>
        <v>493.15</v>
      </c>
      <c r="F104" t="s">
        <v>24</v>
      </c>
      <c r="G104" s="1">
        <v>0.05</v>
      </c>
      <c r="H104" t="s">
        <v>55</v>
      </c>
      <c r="I104" s="1">
        <v>0</v>
      </c>
      <c r="J104" t="s">
        <v>63</v>
      </c>
      <c r="K104" s="1">
        <v>0.23499999999999999</v>
      </c>
      <c r="L104" t="s">
        <v>27</v>
      </c>
      <c r="M104" s="1">
        <v>0</v>
      </c>
      <c r="N104">
        <v>0</v>
      </c>
      <c r="O104" s="1">
        <v>0</v>
      </c>
      <c r="P104" t="s">
        <v>105</v>
      </c>
      <c r="Q104" s="1">
        <v>0.61</v>
      </c>
      <c r="R104" t="s">
        <v>60</v>
      </c>
      <c r="S104" s="1">
        <v>0.79</v>
      </c>
      <c r="T104" t="s">
        <v>106</v>
      </c>
      <c r="U104" s="1">
        <v>5.45</v>
      </c>
      <c r="V104">
        <v>0</v>
      </c>
      <c r="W104" s="1">
        <v>0</v>
      </c>
      <c r="X104" s="4">
        <f t="shared" si="58"/>
        <v>5.45</v>
      </c>
      <c r="Y104" s="1">
        <v>3.33</v>
      </c>
      <c r="Z104" s="1" t="s">
        <v>107</v>
      </c>
      <c r="AA104" s="1">
        <v>1</v>
      </c>
      <c r="AB104" s="1">
        <v>3</v>
      </c>
      <c r="AC104" t="s">
        <v>108</v>
      </c>
      <c r="AD104" t="s">
        <v>212</v>
      </c>
      <c r="AE104" s="26">
        <v>72</v>
      </c>
    </row>
    <row r="105" spans="1:31" ht="13.5" customHeight="1">
      <c r="A105" s="23" t="s">
        <v>213</v>
      </c>
      <c r="B105" s="24">
        <v>0.99826839696924397</v>
      </c>
      <c r="C105" s="24">
        <v>4.9066950272993699</v>
      </c>
      <c r="D105" s="15">
        <f t="shared" si="81"/>
        <v>493.15</v>
      </c>
      <c r="E105" s="15">
        <f t="shared" si="81"/>
        <v>493.15</v>
      </c>
      <c r="F105" t="s">
        <v>24</v>
      </c>
      <c r="G105" s="1">
        <v>0.05</v>
      </c>
      <c r="H105" t="s">
        <v>55</v>
      </c>
      <c r="I105" s="1">
        <v>0</v>
      </c>
      <c r="J105" t="s">
        <v>65</v>
      </c>
      <c r="K105" s="1">
        <v>0.23499999999999999</v>
      </c>
      <c r="L105" t="s">
        <v>27</v>
      </c>
      <c r="M105" s="1">
        <v>0</v>
      </c>
      <c r="N105">
        <v>0</v>
      </c>
      <c r="O105" s="1">
        <v>0</v>
      </c>
      <c r="P105" t="s">
        <v>105</v>
      </c>
      <c r="Q105" s="1">
        <v>0.61</v>
      </c>
      <c r="R105" t="s">
        <v>60</v>
      </c>
      <c r="S105" s="1">
        <v>0.79</v>
      </c>
      <c r="T105" t="s">
        <v>106</v>
      </c>
      <c r="U105" s="1">
        <v>5.45</v>
      </c>
      <c r="V105">
        <v>0</v>
      </c>
      <c r="W105" s="1">
        <v>0</v>
      </c>
      <c r="X105" s="4">
        <f t="shared" si="58"/>
        <v>5.45</v>
      </c>
      <c r="Y105" s="1">
        <v>1.57</v>
      </c>
      <c r="Z105" s="1" t="s">
        <v>107</v>
      </c>
      <c r="AA105" s="1">
        <v>1</v>
      </c>
      <c r="AB105" s="1">
        <v>3</v>
      </c>
      <c r="AC105" t="s">
        <v>108</v>
      </c>
      <c r="AD105" t="s">
        <v>212</v>
      </c>
      <c r="AE105" s="26">
        <v>72</v>
      </c>
    </row>
    <row r="106" spans="1:31" ht="13.5" customHeight="1">
      <c r="A106" s="23" t="s">
        <v>213</v>
      </c>
      <c r="B106" s="24">
        <v>0.99826839696924397</v>
      </c>
      <c r="C106" s="24">
        <v>4.9066950272993699</v>
      </c>
      <c r="D106" s="15">
        <f t="shared" si="81"/>
        <v>493.15</v>
      </c>
      <c r="E106" s="15">
        <f t="shared" si="81"/>
        <v>493.15</v>
      </c>
      <c r="F106" t="s">
        <v>24</v>
      </c>
      <c r="G106" s="1">
        <v>0.05</v>
      </c>
      <c r="H106" t="s">
        <v>55</v>
      </c>
      <c r="I106" s="1">
        <v>0</v>
      </c>
      <c r="J106" t="s">
        <v>65</v>
      </c>
      <c r="K106" s="1">
        <v>0.23499999999999999</v>
      </c>
      <c r="L106" t="s">
        <v>27</v>
      </c>
      <c r="M106" s="1">
        <v>0</v>
      </c>
      <c r="N106">
        <v>0</v>
      </c>
      <c r="O106" s="1">
        <v>0</v>
      </c>
      <c r="P106" t="s">
        <v>214</v>
      </c>
      <c r="Q106" s="1">
        <v>1.51</v>
      </c>
      <c r="R106" t="s">
        <v>60</v>
      </c>
      <c r="S106" s="1">
        <v>0.79</v>
      </c>
      <c r="T106" t="s">
        <v>106</v>
      </c>
      <c r="U106" s="1">
        <v>5.45</v>
      </c>
      <c r="V106">
        <v>0</v>
      </c>
      <c r="W106" s="1">
        <v>0</v>
      </c>
      <c r="X106" s="4">
        <f t="shared" si="58"/>
        <v>5.45</v>
      </c>
      <c r="Y106" s="1">
        <v>2.39</v>
      </c>
      <c r="Z106" s="1" t="s">
        <v>107</v>
      </c>
      <c r="AA106" s="1">
        <v>1</v>
      </c>
      <c r="AB106" s="1">
        <v>10</v>
      </c>
      <c r="AC106" t="s">
        <v>108</v>
      </c>
      <c r="AD106" t="s">
        <v>212</v>
      </c>
      <c r="AE106" s="26">
        <v>72</v>
      </c>
    </row>
    <row r="107" spans="1:31" ht="13.5" customHeight="1">
      <c r="A107" s="23" t="s">
        <v>215</v>
      </c>
      <c r="B107" s="24">
        <v>0.94922894750723297</v>
      </c>
      <c r="C107" s="24">
        <v>4.18719838021575</v>
      </c>
      <c r="D107" s="15">
        <f t="shared" ref="D107:E107" si="82">140+273.15</f>
        <v>413.15</v>
      </c>
      <c r="E107" s="15">
        <f t="shared" si="82"/>
        <v>413.15</v>
      </c>
      <c r="F107" t="s">
        <v>66</v>
      </c>
      <c r="G107" s="1">
        <v>8.7999999999999995E-2</v>
      </c>
      <c r="H107" t="s">
        <v>55</v>
      </c>
      <c r="I107" s="1">
        <v>0</v>
      </c>
      <c r="J107" t="s">
        <v>51</v>
      </c>
      <c r="K107" s="1">
        <v>0.39500000000000002</v>
      </c>
      <c r="L107" t="s">
        <v>27</v>
      </c>
      <c r="M107" s="1">
        <v>0</v>
      </c>
      <c r="N107">
        <v>0</v>
      </c>
      <c r="O107" s="1">
        <v>0</v>
      </c>
      <c r="P107" t="s">
        <v>105</v>
      </c>
      <c r="Q107" s="1">
        <v>3.04</v>
      </c>
      <c r="R107" t="s">
        <v>60</v>
      </c>
      <c r="S107" s="1">
        <v>3.45</v>
      </c>
      <c r="T107" t="s">
        <v>106</v>
      </c>
      <c r="U107" s="1">
        <v>10.71</v>
      </c>
      <c r="V107">
        <v>0</v>
      </c>
      <c r="W107" s="1">
        <v>0</v>
      </c>
      <c r="X107" s="4">
        <f t="shared" si="58"/>
        <v>10.71</v>
      </c>
      <c r="Y107" s="1">
        <v>3.78</v>
      </c>
      <c r="Z107" s="1" t="s">
        <v>153</v>
      </c>
      <c r="AA107" s="1">
        <f t="shared" ref="AA107:AA109" si="83">30/60</f>
        <v>0.5</v>
      </c>
      <c r="AB107" s="1">
        <v>15.3</v>
      </c>
      <c r="AC107" t="s">
        <v>108</v>
      </c>
      <c r="AD107" s="27" t="s">
        <v>216</v>
      </c>
      <c r="AE107" s="26">
        <v>73</v>
      </c>
    </row>
    <row r="108" spans="1:31" ht="13.5" customHeight="1">
      <c r="A108" s="23" t="s">
        <v>215</v>
      </c>
      <c r="B108" s="24">
        <v>0.94922894750723297</v>
      </c>
      <c r="C108" s="24">
        <v>4.18719838021575</v>
      </c>
      <c r="D108" s="15">
        <f t="shared" ref="D108:E108" si="84">160+273.15</f>
        <v>433.15</v>
      </c>
      <c r="E108" s="15">
        <f t="shared" si="84"/>
        <v>433.15</v>
      </c>
      <c r="F108" t="s">
        <v>66</v>
      </c>
      <c r="G108" s="1">
        <v>8.7999999999999995E-2</v>
      </c>
      <c r="H108" t="s">
        <v>55</v>
      </c>
      <c r="I108" s="1">
        <v>0</v>
      </c>
      <c r="J108" t="s">
        <v>51</v>
      </c>
      <c r="K108" s="1">
        <v>0.39500000000000002</v>
      </c>
      <c r="L108" t="s">
        <v>27</v>
      </c>
      <c r="M108" s="1">
        <v>0</v>
      </c>
      <c r="N108">
        <v>0</v>
      </c>
      <c r="O108" s="1">
        <v>0</v>
      </c>
      <c r="P108" t="s">
        <v>105</v>
      </c>
      <c r="Q108" s="1">
        <v>3.04</v>
      </c>
      <c r="R108" t="s">
        <v>60</v>
      </c>
      <c r="S108" s="1">
        <v>3.45</v>
      </c>
      <c r="T108" t="s">
        <v>106</v>
      </c>
      <c r="U108" s="1">
        <v>10.71</v>
      </c>
      <c r="V108">
        <v>0</v>
      </c>
      <c r="W108" s="1">
        <v>0</v>
      </c>
      <c r="X108" s="4">
        <f t="shared" si="58"/>
        <v>10.71</v>
      </c>
      <c r="Y108" s="1">
        <v>3.78</v>
      </c>
      <c r="Z108" s="1" t="s">
        <v>153</v>
      </c>
      <c r="AA108" s="1">
        <f t="shared" si="83"/>
        <v>0.5</v>
      </c>
      <c r="AB108" s="1">
        <v>15.8</v>
      </c>
      <c r="AC108" t="s">
        <v>108</v>
      </c>
      <c r="AD108" s="27" t="s">
        <v>216</v>
      </c>
      <c r="AE108" s="26">
        <v>73</v>
      </c>
    </row>
    <row r="109" spans="1:31" ht="13.5" customHeight="1">
      <c r="A109" s="23" t="s">
        <v>215</v>
      </c>
      <c r="B109" s="24">
        <v>0.94922894750723297</v>
      </c>
      <c r="C109" s="24">
        <v>4.18719838021575</v>
      </c>
      <c r="D109" s="15">
        <f t="shared" ref="D109:E109" si="85">180+273.15</f>
        <v>453.15</v>
      </c>
      <c r="E109" s="15">
        <f t="shared" si="85"/>
        <v>453.15</v>
      </c>
      <c r="F109" t="s">
        <v>66</v>
      </c>
      <c r="G109" s="1">
        <v>8.7999999999999995E-2</v>
      </c>
      <c r="H109" t="s">
        <v>55</v>
      </c>
      <c r="I109" s="1">
        <v>0</v>
      </c>
      <c r="J109" t="s">
        <v>51</v>
      </c>
      <c r="K109" s="1">
        <v>0.39500000000000002</v>
      </c>
      <c r="L109" t="s">
        <v>27</v>
      </c>
      <c r="M109" s="1">
        <v>0</v>
      </c>
      <c r="N109">
        <v>0</v>
      </c>
      <c r="O109" s="1">
        <v>0</v>
      </c>
      <c r="P109" t="s">
        <v>105</v>
      </c>
      <c r="Q109" s="1">
        <v>3.04</v>
      </c>
      <c r="R109" t="s">
        <v>60</v>
      </c>
      <c r="S109" s="1">
        <v>3.45</v>
      </c>
      <c r="T109" t="s">
        <v>106</v>
      </c>
      <c r="U109" s="1">
        <v>10.71</v>
      </c>
      <c r="V109">
        <v>0</v>
      </c>
      <c r="W109" s="1">
        <v>0</v>
      </c>
      <c r="X109" s="4">
        <f t="shared" si="58"/>
        <v>10.71</v>
      </c>
      <c r="Y109" s="1">
        <v>3.78</v>
      </c>
      <c r="Z109" s="1" t="s">
        <v>153</v>
      </c>
      <c r="AA109" s="1">
        <f t="shared" si="83"/>
        <v>0.5</v>
      </c>
      <c r="AB109" s="1">
        <v>16.2</v>
      </c>
      <c r="AC109" t="s">
        <v>108</v>
      </c>
      <c r="AD109" s="27" t="s">
        <v>216</v>
      </c>
      <c r="AE109" s="26">
        <v>73</v>
      </c>
    </row>
    <row r="110" spans="1:31" ht="13.5" customHeight="1">
      <c r="A110" s="23" t="s">
        <v>213</v>
      </c>
      <c r="B110" s="24">
        <v>0.99826839696924397</v>
      </c>
      <c r="C110" s="24">
        <v>4.9066950272993699</v>
      </c>
      <c r="D110" s="15">
        <f t="shared" ref="D110:E110" si="86">210+273.15</f>
        <v>483.15</v>
      </c>
      <c r="E110" s="15">
        <f t="shared" si="86"/>
        <v>483.15</v>
      </c>
      <c r="F110" t="s">
        <v>24</v>
      </c>
      <c r="G110" s="1">
        <v>4.2999999999999997E-2</v>
      </c>
      <c r="H110" t="s">
        <v>55</v>
      </c>
      <c r="I110" s="1">
        <v>0</v>
      </c>
      <c r="J110" t="s">
        <v>65</v>
      </c>
      <c r="K110" s="1">
        <v>0.19</v>
      </c>
      <c r="L110" t="s">
        <v>27</v>
      </c>
      <c r="M110" s="1">
        <v>0</v>
      </c>
      <c r="N110">
        <v>0</v>
      </c>
      <c r="O110" s="1">
        <v>0</v>
      </c>
      <c r="P110">
        <v>0</v>
      </c>
      <c r="Q110" s="1">
        <v>0</v>
      </c>
      <c r="R110" t="s">
        <v>60</v>
      </c>
      <c r="S110" s="1">
        <v>1.74</v>
      </c>
      <c r="T110" t="s">
        <v>106</v>
      </c>
      <c r="U110" s="1">
        <v>8.35</v>
      </c>
      <c r="V110">
        <v>0</v>
      </c>
      <c r="W110" s="1">
        <v>0</v>
      </c>
      <c r="X110" s="4">
        <f t="shared" si="58"/>
        <v>8.35</v>
      </c>
      <c r="Y110" s="1">
        <v>1.92</v>
      </c>
      <c r="Z110" s="1" t="s">
        <v>107</v>
      </c>
      <c r="AA110" s="1">
        <v>1</v>
      </c>
      <c r="AB110" s="1">
        <v>12.5</v>
      </c>
      <c r="AC110" t="s">
        <v>108</v>
      </c>
      <c r="AD110" s="27" t="s">
        <v>217</v>
      </c>
      <c r="AE110" s="26">
        <v>74</v>
      </c>
    </row>
    <row r="111" spans="1:31" ht="13.5" customHeight="1">
      <c r="A111" t="s">
        <v>213</v>
      </c>
      <c r="B111" s="1">
        <v>0.99826839696924397</v>
      </c>
      <c r="C111" s="1">
        <v>4.9066950272993699</v>
      </c>
      <c r="D111" s="15">
        <f t="shared" ref="D111:E111" si="87">220+273.15</f>
        <v>493.15</v>
      </c>
      <c r="E111" s="15">
        <f t="shared" si="87"/>
        <v>493.15</v>
      </c>
      <c r="F111" t="s">
        <v>24</v>
      </c>
      <c r="G111" s="1">
        <v>4.8000000000000001E-2</v>
      </c>
      <c r="H111" t="s">
        <v>55</v>
      </c>
      <c r="I111" s="1">
        <v>0</v>
      </c>
      <c r="J111" t="s">
        <v>65</v>
      </c>
      <c r="K111" s="1">
        <v>0.23499999999999999</v>
      </c>
      <c r="L111" t="s">
        <v>27</v>
      </c>
      <c r="M111" s="1">
        <v>0</v>
      </c>
      <c r="N111">
        <v>0</v>
      </c>
      <c r="O111" s="1">
        <v>0</v>
      </c>
      <c r="P111" t="s">
        <v>105</v>
      </c>
      <c r="Q111" s="1">
        <v>0.61</v>
      </c>
      <c r="R111" t="s">
        <v>60</v>
      </c>
      <c r="S111" s="1">
        <v>0.79</v>
      </c>
      <c r="T111" t="s">
        <v>106</v>
      </c>
      <c r="U111" s="1">
        <v>6.45</v>
      </c>
      <c r="V111">
        <v>0</v>
      </c>
      <c r="W111" s="1">
        <v>0</v>
      </c>
      <c r="X111" s="4">
        <f t="shared" si="58"/>
        <v>6.45</v>
      </c>
      <c r="Y111" s="1">
        <v>1</v>
      </c>
      <c r="Z111" s="1" t="s">
        <v>218</v>
      </c>
      <c r="AA111" s="1">
        <v>1</v>
      </c>
      <c r="AB111" s="1">
        <v>20</v>
      </c>
      <c r="AC111" t="s">
        <v>108</v>
      </c>
      <c r="AD111" s="27" t="s">
        <v>219</v>
      </c>
      <c r="AE111" s="26">
        <v>75</v>
      </c>
    </row>
    <row r="112" spans="1:31" ht="13.5" customHeight="1">
      <c r="A112" t="s">
        <v>220</v>
      </c>
      <c r="B112" s="1">
        <v>0.99970269064304995</v>
      </c>
      <c r="C112" s="1">
        <v>4.0129188215719198</v>
      </c>
      <c r="D112" s="15">
        <f t="shared" ref="D112:D113" si="88">175+273.15</f>
        <v>448.15</v>
      </c>
      <c r="E112" s="15">
        <f t="shared" ref="E112:E113" si="89">185+273.15</f>
        <v>458.15</v>
      </c>
      <c r="F112" t="s">
        <v>19</v>
      </c>
      <c r="G112" s="1">
        <v>0.9</v>
      </c>
      <c r="H112" t="s">
        <v>55</v>
      </c>
      <c r="I112" s="1">
        <v>0</v>
      </c>
      <c r="J112" t="s">
        <v>32</v>
      </c>
      <c r="K112" s="1">
        <v>0.45</v>
      </c>
      <c r="L112" t="s">
        <v>22</v>
      </c>
      <c r="M112" s="1">
        <v>3.94</v>
      </c>
      <c r="N112">
        <v>0</v>
      </c>
      <c r="O112" s="1">
        <v>0</v>
      </c>
      <c r="P112" t="s">
        <v>105</v>
      </c>
      <c r="Q112" s="1">
        <v>1.98</v>
      </c>
      <c r="R112" t="s">
        <v>60</v>
      </c>
      <c r="S112" s="1">
        <v>8.8699999999999992</v>
      </c>
      <c r="T112" t="s">
        <v>106</v>
      </c>
      <c r="U112" s="1">
        <v>10</v>
      </c>
      <c r="V112">
        <v>0</v>
      </c>
      <c r="W112" s="1">
        <v>0</v>
      </c>
      <c r="X112" s="4">
        <f t="shared" si="58"/>
        <v>10</v>
      </c>
      <c r="Y112" s="1">
        <v>2.61</v>
      </c>
      <c r="Z112" s="1" t="s">
        <v>153</v>
      </c>
      <c r="AA112" s="1">
        <f t="shared" ref="AA112:AA113" si="90">1/60</f>
        <v>1.6666666666666666E-2</v>
      </c>
      <c r="AB112" s="1">
        <v>14</v>
      </c>
      <c r="AC112" t="s">
        <v>108</v>
      </c>
      <c r="AD112" s="27" t="s">
        <v>221</v>
      </c>
      <c r="AE112" s="26">
        <v>76</v>
      </c>
    </row>
    <row r="113" spans="1:31" ht="13.5" customHeight="1">
      <c r="A113" s="23" t="s">
        <v>222</v>
      </c>
      <c r="B113" s="24">
        <v>0.95635514850134595</v>
      </c>
      <c r="C113" s="24">
        <v>4.0712398080505903</v>
      </c>
      <c r="D113" s="15">
        <f t="shared" si="88"/>
        <v>448.15</v>
      </c>
      <c r="E113" s="15">
        <f t="shared" si="89"/>
        <v>458.15</v>
      </c>
      <c r="F113" t="s">
        <v>67</v>
      </c>
      <c r="G113" s="1">
        <v>0.9</v>
      </c>
      <c r="H113" t="s">
        <v>55</v>
      </c>
      <c r="I113" s="1">
        <v>0</v>
      </c>
      <c r="J113" t="s">
        <v>32</v>
      </c>
      <c r="K113" s="1">
        <v>0.45</v>
      </c>
      <c r="L113" t="s">
        <v>22</v>
      </c>
      <c r="M113" s="1">
        <v>3.94</v>
      </c>
      <c r="N113">
        <v>0</v>
      </c>
      <c r="O113" s="1">
        <v>0</v>
      </c>
      <c r="P113" t="s">
        <v>105</v>
      </c>
      <c r="Q113" s="1">
        <v>1.98</v>
      </c>
      <c r="R113" t="s">
        <v>60</v>
      </c>
      <c r="S113" s="1">
        <v>8.8699999999999992</v>
      </c>
      <c r="T113" t="s">
        <v>106</v>
      </c>
      <c r="U113" s="1">
        <v>10</v>
      </c>
      <c r="V113">
        <v>0</v>
      </c>
      <c r="W113" s="1">
        <v>0</v>
      </c>
      <c r="X113" s="4">
        <f t="shared" si="58"/>
        <v>10</v>
      </c>
      <c r="Y113" s="1">
        <v>2.61</v>
      </c>
      <c r="Z113" s="1" t="s">
        <v>153</v>
      </c>
      <c r="AA113" s="1">
        <f t="shared" si="90"/>
        <v>1.6666666666666666E-2</v>
      </c>
      <c r="AB113" s="1">
        <v>14</v>
      </c>
      <c r="AC113" t="s">
        <v>108</v>
      </c>
      <c r="AD113" s="27" t="s">
        <v>221</v>
      </c>
      <c r="AE113" s="26">
        <v>76</v>
      </c>
    </row>
    <row r="114" spans="1:31" ht="13.5" customHeight="1">
      <c r="A114" s="23" t="s">
        <v>213</v>
      </c>
      <c r="B114" s="24">
        <v>0.99826839696924397</v>
      </c>
      <c r="C114" s="24">
        <v>4.9066950272993699</v>
      </c>
      <c r="D114" s="15">
        <f t="shared" ref="D114:E119" si="91">220+273.15</f>
        <v>493.15</v>
      </c>
      <c r="E114" s="15">
        <f t="shared" si="91"/>
        <v>493.15</v>
      </c>
      <c r="F114" t="s">
        <v>24</v>
      </c>
      <c r="G114" s="1">
        <v>4.7E-2</v>
      </c>
      <c r="H114" t="s">
        <v>55</v>
      </c>
      <c r="I114" s="1">
        <v>0</v>
      </c>
      <c r="J114" t="s">
        <v>65</v>
      </c>
      <c r="K114" s="1">
        <v>0.23499999999999999</v>
      </c>
      <c r="L114" t="s">
        <v>27</v>
      </c>
      <c r="M114" s="1">
        <v>0</v>
      </c>
      <c r="N114">
        <v>0</v>
      </c>
      <c r="O114" s="1">
        <v>0</v>
      </c>
      <c r="P114" t="s">
        <v>105</v>
      </c>
      <c r="Q114" s="1">
        <v>0.76</v>
      </c>
      <c r="R114" t="s">
        <v>60</v>
      </c>
      <c r="S114" s="1">
        <v>0.79</v>
      </c>
      <c r="T114" t="s">
        <v>106</v>
      </c>
      <c r="U114" s="1">
        <v>6.4</v>
      </c>
      <c r="V114">
        <v>0</v>
      </c>
      <c r="W114" s="1">
        <v>0</v>
      </c>
      <c r="X114" s="4">
        <f t="shared" si="58"/>
        <v>6.4</v>
      </c>
      <c r="Y114" s="1">
        <v>1.67</v>
      </c>
      <c r="Z114" s="1" t="s">
        <v>153</v>
      </c>
      <c r="AA114" s="1">
        <f>15/60</f>
        <v>0.25</v>
      </c>
      <c r="AB114" s="1">
        <v>2.86</v>
      </c>
      <c r="AC114" t="s">
        <v>108</v>
      </c>
      <c r="AD114" s="27" t="s">
        <v>223</v>
      </c>
      <c r="AE114" s="26">
        <v>77</v>
      </c>
    </row>
    <row r="115" spans="1:31" ht="13.5" customHeight="1">
      <c r="A115" s="23" t="s">
        <v>213</v>
      </c>
      <c r="B115" s="24">
        <v>0.99826839696924397</v>
      </c>
      <c r="C115" s="24">
        <v>4.9066950272993699</v>
      </c>
      <c r="D115" s="15">
        <f t="shared" si="91"/>
        <v>493.15</v>
      </c>
      <c r="E115" s="15">
        <f t="shared" si="91"/>
        <v>493.15</v>
      </c>
      <c r="F115" t="s">
        <v>24</v>
      </c>
      <c r="G115" s="1">
        <v>4.7E-2</v>
      </c>
      <c r="H115" t="s">
        <v>55</v>
      </c>
      <c r="I115" s="1">
        <v>0</v>
      </c>
      <c r="J115" t="s">
        <v>65</v>
      </c>
      <c r="K115" s="1">
        <v>0.23499999999999999</v>
      </c>
      <c r="L115" t="s">
        <v>27</v>
      </c>
      <c r="M115" s="1">
        <v>0</v>
      </c>
      <c r="N115">
        <v>0</v>
      </c>
      <c r="O115" s="1">
        <v>0</v>
      </c>
      <c r="P115" t="s">
        <v>105</v>
      </c>
      <c r="Q115" s="1">
        <v>0.76</v>
      </c>
      <c r="R115" t="s">
        <v>60</v>
      </c>
      <c r="S115" s="1">
        <v>0.79</v>
      </c>
      <c r="T115" t="s">
        <v>106</v>
      </c>
      <c r="U115" s="1">
        <v>6.4</v>
      </c>
      <c r="V115">
        <v>0</v>
      </c>
      <c r="W115" s="1">
        <v>0</v>
      </c>
      <c r="X115" s="4">
        <f t="shared" si="58"/>
        <v>6.4</v>
      </c>
      <c r="Y115" s="1">
        <v>1.57</v>
      </c>
      <c r="Z115" s="1" t="s">
        <v>107</v>
      </c>
      <c r="AA115" s="1">
        <v>1</v>
      </c>
      <c r="AB115" s="1">
        <v>3.16</v>
      </c>
      <c r="AC115" t="s">
        <v>108</v>
      </c>
      <c r="AD115" s="27" t="s">
        <v>223</v>
      </c>
      <c r="AE115" s="26">
        <v>77</v>
      </c>
    </row>
    <row r="116" spans="1:31" ht="13.5" customHeight="1">
      <c r="A116" s="23" t="s">
        <v>213</v>
      </c>
      <c r="B116" s="24">
        <v>0.99826839696924397</v>
      </c>
      <c r="C116" s="24">
        <v>4.9066950272993699</v>
      </c>
      <c r="D116" s="15">
        <f t="shared" si="91"/>
        <v>493.15</v>
      </c>
      <c r="E116" s="15">
        <f t="shared" si="91"/>
        <v>493.15</v>
      </c>
      <c r="F116" t="s">
        <v>24</v>
      </c>
      <c r="G116" s="1">
        <v>4.7E-2</v>
      </c>
      <c r="H116" t="s">
        <v>55</v>
      </c>
      <c r="I116" s="1">
        <v>0</v>
      </c>
      <c r="J116" t="s">
        <v>65</v>
      </c>
      <c r="K116" s="1">
        <v>0.23499999999999999</v>
      </c>
      <c r="L116" t="s">
        <v>27</v>
      </c>
      <c r="M116" s="1">
        <v>0</v>
      </c>
      <c r="N116">
        <v>0</v>
      </c>
      <c r="O116" s="1">
        <v>0</v>
      </c>
      <c r="P116" t="s">
        <v>105</v>
      </c>
      <c r="Q116" s="1">
        <v>0.76</v>
      </c>
      <c r="R116" t="s">
        <v>60</v>
      </c>
      <c r="S116" s="1">
        <v>0.79</v>
      </c>
      <c r="T116" t="s">
        <v>106</v>
      </c>
      <c r="U116" s="1">
        <v>6.4</v>
      </c>
      <c r="V116">
        <v>0</v>
      </c>
      <c r="W116" s="1">
        <v>0</v>
      </c>
      <c r="X116" s="4">
        <f t="shared" si="58"/>
        <v>6.4</v>
      </c>
      <c r="Y116" s="1">
        <v>1.58</v>
      </c>
      <c r="Z116" s="1" t="s">
        <v>153</v>
      </c>
      <c r="AA116" s="1">
        <v>2</v>
      </c>
      <c r="AB116" s="1">
        <v>3.19</v>
      </c>
      <c r="AC116" t="s">
        <v>108</v>
      </c>
      <c r="AD116" s="27" t="s">
        <v>223</v>
      </c>
      <c r="AE116" s="26">
        <v>77</v>
      </c>
    </row>
    <row r="117" spans="1:31" ht="13.5" customHeight="1">
      <c r="A117" s="23" t="s">
        <v>213</v>
      </c>
      <c r="B117" s="24">
        <v>0.99826839696924397</v>
      </c>
      <c r="C117" s="24">
        <v>4.9066950272993699</v>
      </c>
      <c r="D117" s="15">
        <f t="shared" si="91"/>
        <v>493.15</v>
      </c>
      <c r="E117" s="15">
        <f t="shared" si="91"/>
        <v>493.15</v>
      </c>
      <c r="F117" t="s">
        <v>24</v>
      </c>
      <c r="G117" s="1">
        <v>4.7E-2</v>
      </c>
      <c r="H117" t="s">
        <v>55</v>
      </c>
      <c r="I117" s="1">
        <v>0</v>
      </c>
      <c r="J117" t="s">
        <v>65</v>
      </c>
      <c r="K117" s="1">
        <v>0.23499999999999999</v>
      </c>
      <c r="L117" t="s">
        <v>27</v>
      </c>
      <c r="M117" s="1">
        <v>0</v>
      </c>
      <c r="N117">
        <v>0</v>
      </c>
      <c r="O117" s="1">
        <v>0</v>
      </c>
      <c r="P117" t="s">
        <v>105</v>
      </c>
      <c r="Q117" s="1">
        <v>0.76</v>
      </c>
      <c r="R117" t="s">
        <v>60</v>
      </c>
      <c r="S117" s="1">
        <v>0.79</v>
      </c>
      <c r="T117" t="s">
        <v>106</v>
      </c>
      <c r="U117" s="1">
        <v>6.4</v>
      </c>
      <c r="V117">
        <v>0</v>
      </c>
      <c r="W117" s="1">
        <v>0</v>
      </c>
      <c r="X117" s="4">
        <f t="shared" si="58"/>
        <v>6.4</v>
      </c>
      <c r="Y117" s="1">
        <v>1.56</v>
      </c>
      <c r="Z117" s="1" t="s">
        <v>153</v>
      </c>
      <c r="AA117" s="1">
        <v>10</v>
      </c>
      <c r="AB117" s="1">
        <v>3.21</v>
      </c>
      <c r="AC117" t="s">
        <v>108</v>
      </c>
      <c r="AD117" s="27" t="s">
        <v>223</v>
      </c>
      <c r="AE117" s="26">
        <v>77</v>
      </c>
    </row>
    <row r="118" spans="1:31" ht="13.5" customHeight="1">
      <c r="A118" s="23" t="s">
        <v>208</v>
      </c>
      <c r="B118" s="24">
        <v>1.0246377508514499</v>
      </c>
      <c r="C118" s="24">
        <v>4.5588689403428502</v>
      </c>
      <c r="D118" s="15">
        <f t="shared" si="91"/>
        <v>493.15</v>
      </c>
      <c r="E118" s="15">
        <f t="shared" si="91"/>
        <v>493.15</v>
      </c>
      <c r="F118" t="s">
        <v>24</v>
      </c>
      <c r="G118" s="1">
        <v>4.7E-2</v>
      </c>
      <c r="H118" t="s">
        <v>55</v>
      </c>
      <c r="I118" s="1">
        <v>0</v>
      </c>
      <c r="J118" t="s">
        <v>63</v>
      </c>
      <c r="K118" s="1">
        <v>0.23499999999999999</v>
      </c>
      <c r="L118" t="s">
        <v>27</v>
      </c>
      <c r="M118" s="1">
        <v>0</v>
      </c>
      <c r="N118">
        <v>0</v>
      </c>
      <c r="O118" s="1">
        <v>0</v>
      </c>
      <c r="P118" t="s">
        <v>105</v>
      </c>
      <c r="Q118" s="1">
        <v>0.76</v>
      </c>
      <c r="R118" t="s">
        <v>60</v>
      </c>
      <c r="S118" s="1">
        <v>0.79</v>
      </c>
      <c r="T118" t="s">
        <v>106</v>
      </c>
      <c r="U118" s="1">
        <v>6.4</v>
      </c>
      <c r="V118">
        <v>0</v>
      </c>
      <c r="W118" s="1">
        <v>0</v>
      </c>
      <c r="X118" s="4">
        <f t="shared" si="58"/>
        <v>6.4</v>
      </c>
      <c r="Y118" s="1">
        <v>3.33</v>
      </c>
      <c r="Z118" s="1" t="s">
        <v>107</v>
      </c>
      <c r="AA118" s="1">
        <v>1</v>
      </c>
      <c r="AB118" s="1">
        <v>3.18</v>
      </c>
      <c r="AC118" t="s">
        <v>108</v>
      </c>
      <c r="AD118" s="27" t="s">
        <v>223</v>
      </c>
      <c r="AE118" s="26">
        <v>77</v>
      </c>
    </row>
    <row r="119" spans="1:31" ht="13.5" customHeight="1">
      <c r="A119" s="23" t="s">
        <v>210</v>
      </c>
      <c r="B119" s="24">
        <v>1.0436896090313399</v>
      </c>
      <c r="C119" s="24">
        <v>4.3414776359950196</v>
      </c>
      <c r="D119" s="15">
        <f t="shared" si="91"/>
        <v>493.15</v>
      </c>
      <c r="E119" s="15">
        <f t="shared" si="91"/>
        <v>493.15</v>
      </c>
      <c r="F119" t="s">
        <v>24</v>
      </c>
      <c r="G119" s="1">
        <v>4.7E-2</v>
      </c>
      <c r="H119" t="s">
        <v>55</v>
      </c>
      <c r="I119" s="1">
        <v>0</v>
      </c>
      <c r="J119" t="s">
        <v>68</v>
      </c>
      <c r="K119" s="1">
        <v>0.23499999999999999</v>
      </c>
      <c r="L119" t="s">
        <v>27</v>
      </c>
      <c r="M119" s="1">
        <v>0</v>
      </c>
      <c r="N119">
        <v>0</v>
      </c>
      <c r="O119" s="1">
        <v>0</v>
      </c>
      <c r="P119" t="s">
        <v>105</v>
      </c>
      <c r="Q119" s="1">
        <v>0.76</v>
      </c>
      <c r="R119" t="s">
        <v>60</v>
      </c>
      <c r="S119" s="1">
        <v>0.79</v>
      </c>
      <c r="T119" t="s">
        <v>106</v>
      </c>
      <c r="U119" s="1">
        <v>6.4</v>
      </c>
      <c r="V119">
        <v>0</v>
      </c>
      <c r="W119" s="1">
        <v>0</v>
      </c>
      <c r="X119" s="4">
        <f t="shared" si="58"/>
        <v>6.4</v>
      </c>
      <c r="Y119" s="1">
        <v>3.86</v>
      </c>
      <c r="Z119" s="1" t="s">
        <v>107</v>
      </c>
      <c r="AA119" s="1">
        <v>1</v>
      </c>
      <c r="AB119" s="1">
        <v>6.4</v>
      </c>
      <c r="AC119" t="s">
        <v>108</v>
      </c>
      <c r="AD119" s="27" t="s">
        <v>223</v>
      </c>
      <c r="AE119" s="26">
        <v>77</v>
      </c>
    </row>
    <row r="120" spans="1:31" ht="13.5" customHeight="1">
      <c r="A120" s="23" t="s">
        <v>224</v>
      </c>
      <c r="B120" s="24">
        <v>0.87308361406956303</v>
      </c>
      <c r="C120" s="24">
        <v>4.0303903466184803</v>
      </c>
      <c r="D120" s="15">
        <f t="shared" ref="D120:E120" si="92">130+273.15</f>
        <v>403.15</v>
      </c>
      <c r="E120" s="15">
        <f t="shared" si="92"/>
        <v>403.15</v>
      </c>
      <c r="F120" t="s">
        <v>24</v>
      </c>
      <c r="G120" s="1">
        <v>0.20100000000000001</v>
      </c>
      <c r="H120" t="s">
        <v>55</v>
      </c>
      <c r="I120" s="1">
        <v>0</v>
      </c>
      <c r="J120" t="s">
        <v>47</v>
      </c>
      <c r="K120" s="1">
        <v>1.25</v>
      </c>
      <c r="L120" t="s">
        <v>27</v>
      </c>
      <c r="M120" s="1">
        <v>0</v>
      </c>
      <c r="N120" t="s">
        <v>114</v>
      </c>
      <c r="O120" s="1">
        <v>2.69</v>
      </c>
      <c r="P120" t="s">
        <v>105</v>
      </c>
      <c r="Q120" s="1">
        <v>0.61</v>
      </c>
      <c r="R120" t="s">
        <v>60</v>
      </c>
      <c r="S120" s="1">
        <v>0.63</v>
      </c>
      <c r="T120" s="22" t="s">
        <v>106</v>
      </c>
      <c r="U120" s="1">
        <v>0.2</v>
      </c>
      <c r="V120" s="22">
        <v>0</v>
      </c>
      <c r="W120" s="1">
        <v>0</v>
      </c>
      <c r="X120" s="4">
        <f t="shared" si="58"/>
        <v>0.2</v>
      </c>
      <c r="Y120" s="1">
        <v>3.37</v>
      </c>
      <c r="Z120" s="1" t="s">
        <v>153</v>
      </c>
      <c r="AA120" s="1">
        <v>1</v>
      </c>
      <c r="AB120" s="1">
        <v>20</v>
      </c>
      <c r="AC120" s="22" t="s">
        <v>108</v>
      </c>
      <c r="AD120" s="27" t="s">
        <v>225</v>
      </c>
      <c r="AE120" s="26">
        <v>78</v>
      </c>
    </row>
    <row r="121" spans="1:31" ht="13.5" customHeight="1">
      <c r="A121" s="23" t="s">
        <v>224</v>
      </c>
      <c r="B121" s="24">
        <v>0.87308361406956303</v>
      </c>
      <c r="C121" s="24">
        <v>4.0303903466184803</v>
      </c>
      <c r="D121" s="15">
        <f t="shared" ref="D121:E121" si="93">210+273.15</f>
        <v>483.15</v>
      </c>
      <c r="E121" s="15">
        <f t="shared" si="93"/>
        <v>483.15</v>
      </c>
      <c r="F121" t="s">
        <v>24</v>
      </c>
      <c r="G121" s="1">
        <v>0.4</v>
      </c>
      <c r="H121" t="s">
        <v>55</v>
      </c>
      <c r="I121" s="1">
        <v>0</v>
      </c>
      <c r="J121" t="s">
        <v>47</v>
      </c>
      <c r="K121" s="1">
        <v>2.5</v>
      </c>
      <c r="L121" t="s">
        <v>27</v>
      </c>
      <c r="M121" s="1">
        <v>0</v>
      </c>
      <c r="N121" t="s">
        <v>114</v>
      </c>
      <c r="O121" s="1">
        <v>8.9700000000000006</v>
      </c>
      <c r="P121" t="s">
        <v>105</v>
      </c>
      <c r="Q121" s="1">
        <v>1.22</v>
      </c>
      <c r="R121" t="s">
        <v>60</v>
      </c>
      <c r="S121" s="1">
        <v>1.27</v>
      </c>
      <c r="T121" t="s">
        <v>106</v>
      </c>
      <c r="U121" s="1">
        <v>0.4</v>
      </c>
      <c r="V121">
        <v>0</v>
      </c>
      <c r="W121" s="1">
        <v>0</v>
      </c>
      <c r="X121" s="4">
        <f t="shared" si="58"/>
        <v>0.4</v>
      </c>
      <c r="Y121" s="1">
        <v>3.48</v>
      </c>
      <c r="Z121" s="1" t="s">
        <v>153</v>
      </c>
      <c r="AA121" s="1">
        <v>1</v>
      </c>
      <c r="AB121" s="1">
        <v>100</v>
      </c>
      <c r="AC121" t="s">
        <v>108</v>
      </c>
      <c r="AD121" s="27" t="s">
        <v>226</v>
      </c>
      <c r="AE121" s="26">
        <v>79</v>
      </c>
    </row>
    <row r="122" spans="1:31" ht="13.5" customHeight="1">
      <c r="A122" s="23" t="s">
        <v>227</v>
      </c>
      <c r="B122" s="24">
        <v>1.03131384291635</v>
      </c>
      <c r="C122" s="24">
        <v>4.2344315321953196</v>
      </c>
      <c r="D122" s="15">
        <f t="shared" ref="D122:E122" si="94">200+273.15</f>
        <v>473.15</v>
      </c>
      <c r="E122" s="15">
        <f t="shared" si="94"/>
        <v>473.15</v>
      </c>
      <c r="F122" t="s">
        <v>19</v>
      </c>
      <c r="G122" s="1">
        <v>0.71</v>
      </c>
      <c r="H122" t="s">
        <v>55</v>
      </c>
      <c r="I122" s="1">
        <v>0</v>
      </c>
      <c r="J122" t="s">
        <v>69</v>
      </c>
      <c r="K122" s="1">
        <v>1.42</v>
      </c>
      <c r="L122" t="s">
        <v>22</v>
      </c>
      <c r="M122" s="1">
        <v>3.15</v>
      </c>
      <c r="N122">
        <v>0</v>
      </c>
      <c r="O122" s="1">
        <v>0</v>
      </c>
      <c r="P122" t="s">
        <v>105</v>
      </c>
      <c r="Q122" s="1">
        <v>1.9</v>
      </c>
      <c r="R122" t="s">
        <v>60</v>
      </c>
      <c r="S122" s="1">
        <v>8.8699999999999992</v>
      </c>
      <c r="T122" t="s">
        <v>106</v>
      </c>
      <c r="U122" s="1">
        <v>10</v>
      </c>
      <c r="V122" t="s">
        <v>70</v>
      </c>
      <c r="W122" s="1">
        <v>0.32500000000000001</v>
      </c>
      <c r="X122" s="4">
        <f t="shared" si="58"/>
        <v>10.324999999999999</v>
      </c>
      <c r="Y122" s="1">
        <v>4.8600000000000003</v>
      </c>
      <c r="Z122" s="1" t="s">
        <v>107</v>
      </c>
      <c r="AA122" s="1">
        <f>10/60</f>
        <v>0.16666666666666666</v>
      </c>
      <c r="AB122" s="1">
        <v>21.3</v>
      </c>
      <c r="AC122" t="s">
        <v>108</v>
      </c>
      <c r="AD122" s="27" t="s">
        <v>228</v>
      </c>
      <c r="AE122" s="26">
        <v>80</v>
      </c>
    </row>
    <row r="123" spans="1:31" ht="13.5" customHeight="1">
      <c r="A123" s="23" t="s">
        <v>213</v>
      </c>
      <c r="B123" s="24">
        <v>0.99826839696924397</v>
      </c>
      <c r="C123" s="24">
        <v>4.9066950272993699</v>
      </c>
      <c r="D123" s="15">
        <f t="shared" ref="D123:E125" si="95">220+273.15</f>
        <v>493.15</v>
      </c>
      <c r="E123" s="15">
        <f t="shared" si="95"/>
        <v>493.15</v>
      </c>
      <c r="F123" t="s">
        <v>24</v>
      </c>
      <c r="G123" s="1">
        <v>0.08</v>
      </c>
      <c r="H123" t="s">
        <v>55</v>
      </c>
      <c r="I123" s="1">
        <v>0</v>
      </c>
      <c r="J123" t="s">
        <v>48</v>
      </c>
      <c r="K123" s="1">
        <v>0.18</v>
      </c>
      <c r="L123" t="s">
        <v>27</v>
      </c>
      <c r="M123" s="1">
        <v>0</v>
      </c>
      <c r="N123">
        <v>0</v>
      </c>
      <c r="O123" s="1">
        <v>0</v>
      </c>
      <c r="P123" t="s">
        <v>105</v>
      </c>
      <c r="Q123" s="1">
        <v>1.52</v>
      </c>
      <c r="R123" t="s">
        <v>60</v>
      </c>
      <c r="S123" s="1">
        <v>1.84</v>
      </c>
      <c r="T123" t="s">
        <v>106</v>
      </c>
      <c r="U123" s="1">
        <v>7.32</v>
      </c>
      <c r="V123">
        <v>0</v>
      </c>
      <c r="W123" s="1">
        <v>0</v>
      </c>
      <c r="X123" s="4">
        <f t="shared" si="58"/>
        <v>7.32</v>
      </c>
      <c r="Y123" s="1">
        <v>1.54</v>
      </c>
      <c r="Z123" s="1" t="s">
        <v>153</v>
      </c>
      <c r="AA123" s="1">
        <v>1</v>
      </c>
      <c r="AB123" s="1">
        <v>2.5</v>
      </c>
      <c r="AC123" t="s">
        <v>108</v>
      </c>
      <c r="AD123" s="27" t="s">
        <v>229</v>
      </c>
      <c r="AE123" s="26">
        <v>81</v>
      </c>
    </row>
    <row r="124" spans="1:31" ht="13.5" customHeight="1">
      <c r="A124" s="23" t="s">
        <v>213</v>
      </c>
      <c r="B124" s="24">
        <v>0.99826839696924397</v>
      </c>
      <c r="C124" s="24">
        <v>4.9066950272993699</v>
      </c>
      <c r="D124" s="15">
        <f t="shared" si="95"/>
        <v>493.15</v>
      </c>
      <c r="E124" s="15">
        <f t="shared" si="95"/>
        <v>493.15</v>
      </c>
      <c r="F124" t="s">
        <v>24</v>
      </c>
      <c r="G124" s="1">
        <v>0.08</v>
      </c>
      <c r="H124" t="s">
        <v>55</v>
      </c>
      <c r="I124" s="1">
        <v>0</v>
      </c>
      <c r="J124" t="s">
        <v>48</v>
      </c>
      <c r="K124" s="1">
        <v>0.18</v>
      </c>
      <c r="L124" t="s">
        <v>27</v>
      </c>
      <c r="M124" s="1">
        <v>0</v>
      </c>
      <c r="N124">
        <v>0</v>
      </c>
      <c r="O124" s="1">
        <v>0</v>
      </c>
      <c r="P124" t="s">
        <v>105</v>
      </c>
      <c r="Q124" s="1">
        <v>1.52</v>
      </c>
      <c r="R124" t="s">
        <v>60</v>
      </c>
      <c r="S124" s="1">
        <v>1.84</v>
      </c>
      <c r="T124" t="s">
        <v>106</v>
      </c>
      <c r="U124" s="1">
        <v>7.32</v>
      </c>
      <c r="V124">
        <v>0</v>
      </c>
      <c r="W124" s="1">
        <v>0</v>
      </c>
      <c r="X124" s="4">
        <f t="shared" si="58"/>
        <v>7.32</v>
      </c>
      <c r="Y124" s="1">
        <v>1.48</v>
      </c>
      <c r="Z124" s="1" t="s">
        <v>153</v>
      </c>
      <c r="AA124" s="1">
        <v>5</v>
      </c>
      <c r="AB124" s="1">
        <v>3</v>
      </c>
      <c r="AC124" t="s">
        <v>108</v>
      </c>
      <c r="AD124" s="27" t="s">
        <v>229</v>
      </c>
      <c r="AE124" s="26">
        <v>81</v>
      </c>
    </row>
    <row r="125" spans="1:31" ht="13.5" customHeight="1">
      <c r="A125" s="23" t="s">
        <v>213</v>
      </c>
      <c r="B125" s="24">
        <v>0.99826839696924397</v>
      </c>
      <c r="C125" s="24">
        <v>4.9066950272993699</v>
      </c>
      <c r="D125" s="15">
        <f t="shared" si="95"/>
        <v>493.15</v>
      </c>
      <c r="E125" s="15">
        <f t="shared" si="95"/>
        <v>493.15</v>
      </c>
      <c r="F125" t="s">
        <v>24</v>
      </c>
      <c r="G125" s="1">
        <v>0.08</v>
      </c>
      <c r="H125" t="s">
        <v>55</v>
      </c>
      <c r="I125" s="1">
        <v>0</v>
      </c>
      <c r="J125" t="s">
        <v>48</v>
      </c>
      <c r="K125" s="1">
        <v>0.18</v>
      </c>
      <c r="L125" t="s">
        <v>27</v>
      </c>
      <c r="M125" s="1">
        <v>0</v>
      </c>
      <c r="N125">
        <v>0</v>
      </c>
      <c r="O125" s="1">
        <v>0</v>
      </c>
      <c r="P125" t="s">
        <v>105</v>
      </c>
      <c r="Q125" s="1">
        <v>1.52</v>
      </c>
      <c r="R125" t="s">
        <v>60</v>
      </c>
      <c r="S125" s="1">
        <v>1.84</v>
      </c>
      <c r="T125" t="s">
        <v>106</v>
      </c>
      <c r="U125" s="1">
        <v>7.32</v>
      </c>
      <c r="V125">
        <v>0</v>
      </c>
      <c r="W125" s="1">
        <v>0</v>
      </c>
      <c r="X125" s="4">
        <f t="shared" si="58"/>
        <v>7.32</v>
      </c>
      <c r="Y125" s="1">
        <v>1.69</v>
      </c>
      <c r="Z125" s="1" t="s">
        <v>153</v>
      </c>
      <c r="AA125" s="1">
        <v>10</v>
      </c>
      <c r="AB125" s="1">
        <v>28</v>
      </c>
      <c r="AC125" t="s">
        <v>108</v>
      </c>
      <c r="AD125" s="27" t="s">
        <v>229</v>
      </c>
      <c r="AE125" s="26">
        <v>81</v>
      </c>
    </row>
    <row r="126" spans="1:31" ht="13.5" customHeight="1">
      <c r="A126" s="23" t="s">
        <v>230</v>
      </c>
      <c r="B126" s="24">
        <v>1.0606601717798201</v>
      </c>
      <c r="C126" s="24">
        <v>5.0101571357507497</v>
      </c>
      <c r="D126" s="15">
        <f t="shared" ref="D126:E126" si="96">140+273.15</f>
        <v>413.15</v>
      </c>
      <c r="E126" s="15">
        <f t="shared" si="96"/>
        <v>413.15</v>
      </c>
      <c r="F126" t="s">
        <v>19</v>
      </c>
      <c r="G126" s="1">
        <v>0.625</v>
      </c>
      <c r="H126" t="s">
        <v>55</v>
      </c>
      <c r="I126" s="1">
        <v>0</v>
      </c>
      <c r="J126" t="s">
        <v>71</v>
      </c>
      <c r="K126" s="1">
        <v>0.67600000000000005</v>
      </c>
      <c r="L126" t="s">
        <v>36</v>
      </c>
      <c r="M126" s="1">
        <v>4.1280000000000001</v>
      </c>
      <c r="N126">
        <v>0</v>
      </c>
      <c r="O126" s="1">
        <v>0</v>
      </c>
      <c r="P126">
        <v>0</v>
      </c>
      <c r="Q126" s="1">
        <v>0</v>
      </c>
      <c r="R126" t="s">
        <v>60</v>
      </c>
      <c r="S126" s="1">
        <v>3.26</v>
      </c>
      <c r="T126" t="s">
        <v>106</v>
      </c>
      <c r="U126" s="1">
        <v>2</v>
      </c>
      <c r="V126">
        <v>0</v>
      </c>
      <c r="W126" s="1">
        <v>0</v>
      </c>
      <c r="X126" s="4">
        <f t="shared" si="58"/>
        <v>2</v>
      </c>
      <c r="Y126" s="1">
        <v>2</v>
      </c>
      <c r="Z126" s="1" t="s">
        <v>107</v>
      </c>
      <c r="AA126" s="1">
        <f>20/60</f>
        <v>0.33333333333333331</v>
      </c>
      <c r="AB126" s="1">
        <v>12.9</v>
      </c>
      <c r="AC126" t="s">
        <v>108</v>
      </c>
      <c r="AD126" s="27" t="s">
        <v>231</v>
      </c>
      <c r="AE126" s="26">
        <v>82</v>
      </c>
    </row>
    <row r="127" spans="1:31" ht="13.5" customHeight="1">
      <c r="A127" s="23" t="s">
        <v>232</v>
      </c>
      <c r="B127" s="24">
        <v>0.86119273648988504</v>
      </c>
      <c r="C127" s="24">
        <v>4.2390859987923903</v>
      </c>
      <c r="D127" s="15">
        <f t="shared" ref="D127:E127" si="97">250+273.15</f>
        <v>523.15</v>
      </c>
      <c r="E127" s="15">
        <f t="shared" si="97"/>
        <v>523.15</v>
      </c>
      <c r="F127" t="s">
        <v>24</v>
      </c>
      <c r="G127" s="1">
        <v>2.5000000000000001E-2</v>
      </c>
      <c r="H127" t="s">
        <v>55</v>
      </c>
      <c r="I127" s="1">
        <v>0</v>
      </c>
      <c r="J127" t="s">
        <v>48</v>
      </c>
      <c r="K127" s="1">
        <v>0.19</v>
      </c>
      <c r="L127" t="s">
        <v>27</v>
      </c>
      <c r="M127" s="1">
        <v>0</v>
      </c>
      <c r="N127" t="s">
        <v>114</v>
      </c>
      <c r="O127" s="1">
        <v>1.1200000000000001</v>
      </c>
      <c r="P127" t="s">
        <v>105</v>
      </c>
      <c r="Q127" s="1">
        <v>0.3</v>
      </c>
      <c r="R127" t="s">
        <v>60</v>
      </c>
      <c r="S127" s="1">
        <v>0.32</v>
      </c>
      <c r="T127" t="s">
        <v>106</v>
      </c>
      <c r="U127" s="1">
        <v>5</v>
      </c>
      <c r="V127">
        <v>0</v>
      </c>
      <c r="W127" s="1">
        <v>0</v>
      </c>
      <c r="X127" s="4">
        <f t="shared" si="58"/>
        <v>5</v>
      </c>
      <c r="Y127" s="1">
        <v>3</v>
      </c>
      <c r="Z127" s="1" t="s">
        <v>218</v>
      </c>
      <c r="AA127" s="1">
        <f>15/60</f>
        <v>0.25</v>
      </c>
      <c r="AB127" s="1">
        <v>18</v>
      </c>
      <c r="AC127" t="s">
        <v>108</v>
      </c>
      <c r="AD127" s="27" t="s">
        <v>233</v>
      </c>
      <c r="AE127" s="26">
        <v>83</v>
      </c>
    </row>
    <row r="128" spans="1:31" ht="13.5" customHeight="1">
      <c r="A128" s="23" t="s">
        <v>224</v>
      </c>
      <c r="B128" s="24">
        <v>0.87308361406956303</v>
      </c>
      <c r="C128" s="24">
        <v>4.0303903466184803</v>
      </c>
      <c r="D128" s="15">
        <f t="shared" ref="D128:E128" si="98">210+273.15</f>
        <v>483.15</v>
      </c>
      <c r="E128" s="15">
        <f t="shared" si="98"/>
        <v>483.15</v>
      </c>
      <c r="F128" t="s">
        <v>24</v>
      </c>
      <c r="G128" s="1">
        <v>2.5000000000000001E-2</v>
      </c>
      <c r="H128" t="s">
        <v>55</v>
      </c>
      <c r="I128" s="1">
        <v>0</v>
      </c>
      <c r="J128" t="s">
        <v>47</v>
      </c>
      <c r="K128" s="1">
        <v>0.22</v>
      </c>
      <c r="L128" t="s">
        <v>27</v>
      </c>
      <c r="M128" s="1">
        <v>0</v>
      </c>
      <c r="N128" t="s">
        <v>114</v>
      </c>
      <c r="O128" s="1">
        <v>1.1200000000000001</v>
      </c>
      <c r="P128" t="s">
        <v>105</v>
      </c>
      <c r="Q128" s="1">
        <v>0.3</v>
      </c>
      <c r="R128" t="s">
        <v>60</v>
      </c>
      <c r="S128" s="1">
        <v>0.32</v>
      </c>
      <c r="T128" t="s">
        <v>106</v>
      </c>
      <c r="U128" s="1">
        <v>5</v>
      </c>
      <c r="V128">
        <v>0</v>
      </c>
      <c r="W128" s="1">
        <v>0</v>
      </c>
      <c r="X128" s="4">
        <f t="shared" si="58"/>
        <v>5</v>
      </c>
      <c r="Y128" s="1">
        <v>3.33</v>
      </c>
      <c r="Z128" s="1" t="s">
        <v>218</v>
      </c>
      <c r="AA128" s="1">
        <v>1</v>
      </c>
      <c r="AB128" s="1">
        <v>19</v>
      </c>
      <c r="AC128" t="s">
        <v>108</v>
      </c>
      <c r="AD128" s="27" t="s">
        <v>233</v>
      </c>
      <c r="AE128" s="26">
        <v>83</v>
      </c>
    </row>
    <row r="129" spans="1:31" ht="13.5" customHeight="1">
      <c r="A129" s="23" t="s">
        <v>224</v>
      </c>
      <c r="B129" s="24">
        <v>0.87308361406956303</v>
      </c>
      <c r="C129" s="24">
        <v>4.0303903466184803</v>
      </c>
      <c r="D129" s="15">
        <f t="shared" ref="D129:E129" si="99">165+273.15</f>
        <v>438.15</v>
      </c>
      <c r="E129" s="15">
        <f t="shared" si="99"/>
        <v>438.15</v>
      </c>
      <c r="F129" t="s">
        <v>24</v>
      </c>
      <c r="G129" s="1">
        <v>0.246</v>
      </c>
      <c r="H129" t="s">
        <v>55</v>
      </c>
      <c r="I129" s="1">
        <v>0</v>
      </c>
      <c r="J129" s="1" t="s">
        <v>47</v>
      </c>
      <c r="K129" s="1">
        <v>0.4</v>
      </c>
      <c r="L129" t="s">
        <v>27</v>
      </c>
      <c r="M129" s="1">
        <v>0</v>
      </c>
      <c r="N129" t="s">
        <v>114</v>
      </c>
      <c r="O129" s="1">
        <v>0.9</v>
      </c>
      <c r="P129" t="s">
        <v>105</v>
      </c>
      <c r="Q129" s="1">
        <v>0.15</v>
      </c>
      <c r="R129" t="s">
        <v>60</v>
      </c>
      <c r="S129" s="1">
        <v>1.17</v>
      </c>
      <c r="T129" t="s">
        <v>106</v>
      </c>
      <c r="U129" s="1">
        <v>13.16</v>
      </c>
      <c r="V129">
        <v>0</v>
      </c>
      <c r="W129" s="1">
        <v>0</v>
      </c>
      <c r="X129" s="4">
        <f t="shared" si="58"/>
        <v>13.16</v>
      </c>
      <c r="Y129" s="1">
        <v>3.48</v>
      </c>
      <c r="Z129" s="1" t="s">
        <v>107</v>
      </c>
      <c r="AA129" s="1">
        <f>50/60</f>
        <v>0.83333333333333337</v>
      </c>
      <c r="AB129" s="1">
        <v>38.299999999999997</v>
      </c>
      <c r="AC129" t="s">
        <v>108</v>
      </c>
      <c r="AD129" t="s">
        <v>149</v>
      </c>
      <c r="AE129" s="26">
        <v>84</v>
      </c>
    </row>
    <row r="130" spans="1:31" ht="13.5" customHeight="1">
      <c r="A130" s="23" t="s">
        <v>232</v>
      </c>
      <c r="B130" s="24">
        <v>0.86119273648988504</v>
      </c>
      <c r="C130" s="24">
        <v>4.2390859987923903</v>
      </c>
      <c r="D130" s="15">
        <f t="shared" ref="D130:E130" si="100">185+273.15</f>
        <v>458.15</v>
      </c>
      <c r="E130" s="15">
        <f t="shared" si="100"/>
        <v>458.15</v>
      </c>
      <c r="F130" t="s">
        <v>24</v>
      </c>
      <c r="G130" s="1">
        <v>0.246</v>
      </c>
      <c r="H130" t="s">
        <v>55</v>
      </c>
      <c r="I130" s="1">
        <v>0</v>
      </c>
      <c r="J130" t="s">
        <v>48</v>
      </c>
      <c r="K130" s="1">
        <v>0.4</v>
      </c>
      <c r="L130" t="s">
        <v>27</v>
      </c>
      <c r="M130" s="1">
        <v>0</v>
      </c>
      <c r="N130" t="s">
        <v>114</v>
      </c>
      <c r="O130" s="1">
        <v>0.9</v>
      </c>
      <c r="P130" t="s">
        <v>105</v>
      </c>
      <c r="Q130" s="1">
        <v>1.28</v>
      </c>
      <c r="R130" t="s">
        <v>60</v>
      </c>
      <c r="S130" s="1">
        <v>0.32</v>
      </c>
      <c r="T130" t="s">
        <v>106</v>
      </c>
      <c r="U130" s="1">
        <v>13.16</v>
      </c>
      <c r="V130">
        <v>0</v>
      </c>
      <c r="W130" s="1">
        <v>0</v>
      </c>
      <c r="X130" s="4">
        <f t="shared" si="58"/>
        <v>13.16</v>
      </c>
      <c r="Y130" s="1">
        <v>3.11</v>
      </c>
      <c r="Z130" s="1" t="s">
        <v>107</v>
      </c>
      <c r="AA130" s="1">
        <f>90/60</f>
        <v>1.5</v>
      </c>
      <c r="AB130" s="1">
        <v>28.7</v>
      </c>
      <c r="AC130" t="s">
        <v>108</v>
      </c>
      <c r="AD130" t="s">
        <v>149</v>
      </c>
      <c r="AE130" s="26">
        <v>84</v>
      </c>
    </row>
    <row r="131" spans="1:31" ht="13.5" customHeight="1">
      <c r="A131" t="s">
        <v>230</v>
      </c>
      <c r="B131" s="1">
        <v>1.0606601717798201</v>
      </c>
      <c r="C131" s="1">
        <v>5.0101571357507497</v>
      </c>
      <c r="D131" s="15">
        <f t="shared" ref="D131:E131" si="101">90+273.15</f>
        <v>363.15</v>
      </c>
      <c r="E131" s="15">
        <f t="shared" si="101"/>
        <v>363.15</v>
      </c>
      <c r="F131" t="s">
        <v>24</v>
      </c>
      <c r="G131" s="1">
        <v>0.1</v>
      </c>
      <c r="H131" t="s">
        <v>55</v>
      </c>
      <c r="I131" s="1">
        <v>0</v>
      </c>
      <c r="J131" t="s">
        <v>234</v>
      </c>
      <c r="K131" s="1">
        <v>0.1</v>
      </c>
      <c r="L131" t="s">
        <v>36</v>
      </c>
      <c r="M131" s="1">
        <v>4.57</v>
      </c>
      <c r="N131">
        <v>0</v>
      </c>
      <c r="O131" s="1">
        <v>0</v>
      </c>
      <c r="P131" t="s">
        <v>105</v>
      </c>
      <c r="Q131" s="1">
        <v>2</v>
      </c>
      <c r="R131" t="s">
        <v>60</v>
      </c>
      <c r="S131" s="1">
        <v>3.17</v>
      </c>
      <c r="T131" t="s">
        <v>106</v>
      </c>
      <c r="U131" s="1">
        <v>8</v>
      </c>
      <c r="V131">
        <v>0</v>
      </c>
      <c r="W131" s="1">
        <v>0</v>
      </c>
      <c r="X131" s="4">
        <f t="shared" si="58"/>
        <v>8</v>
      </c>
      <c r="Y131" s="1">
        <v>2.0499999999999998</v>
      </c>
      <c r="Z131" s="1" t="s">
        <v>107</v>
      </c>
      <c r="AA131" s="1">
        <f t="shared" ref="AA131:AA135" si="102">10/60</f>
        <v>0.16666666666666666</v>
      </c>
      <c r="AB131" s="1">
        <v>19</v>
      </c>
      <c r="AC131" t="s">
        <v>108</v>
      </c>
      <c r="AD131" t="s">
        <v>235</v>
      </c>
      <c r="AE131" s="26">
        <v>85</v>
      </c>
    </row>
    <row r="132" spans="1:31" ht="13.5" customHeight="1">
      <c r="A132" t="s">
        <v>230</v>
      </c>
      <c r="B132" s="1">
        <v>1.0606601717798201</v>
      </c>
      <c r="C132" s="1">
        <v>5.0101571357507497</v>
      </c>
      <c r="D132" s="15">
        <f t="shared" ref="D132:E132" si="103">135+273.15</f>
        <v>408.15</v>
      </c>
      <c r="E132" s="15">
        <f t="shared" si="103"/>
        <v>408.15</v>
      </c>
      <c r="F132" t="s">
        <v>24</v>
      </c>
      <c r="G132" s="1">
        <v>0.1</v>
      </c>
      <c r="H132" t="s">
        <v>55</v>
      </c>
      <c r="I132" s="1">
        <v>0</v>
      </c>
      <c r="J132" t="s">
        <v>234</v>
      </c>
      <c r="K132" s="1">
        <v>0.1</v>
      </c>
      <c r="L132" t="s">
        <v>36</v>
      </c>
      <c r="M132" s="1">
        <v>4.57</v>
      </c>
      <c r="N132">
        <v>0</v>
      </c>
      <c r="O132" s="1">
        <v>0</v>
      </c>
      <c r="P132" t="s">
        <v>105</v>
      </c>
      <c r="Q132" s="1">
        <v>2</v>
      </c>
      <c r="R132" t="s">
        <v>60</v>
      </c>
      <c r="S132" s="1">
        <v>3.17</v>
      </c>
      <c r="T132" t="s">
        <v>106</v>
      </c>
      <c r="U132" s="1">
        <v>8</v>
      </c>
      <c r="V132">
        <v>0</v>
      </c>
      <c r="W132" s="1">
        <v>0</v>
      </c>
      <c r="X132" s="4">
        <f t="shared" si="58"/>
        <v>8</v>
      </c>
      <c r="Y132" s="1">
        <v>2</v>
      </c>
      <c r="Z132" s="1" t="s">
        <v>107</v>
      </c>
      <c r="AA132" s="1">
        <f t="shared" si="102"/>
        <v>0.16666666666666666</v>
      </c>
      <c r="AB132" s="1">
        <v>16</v>
      </c>
      <c r="AC132" t="s">
        <v>108</v>
      </c>
      <c r="AD132" t="s">
        <v>235</v>
      </c>
      <c r="AE132" s="26">
        <v>85</v>
      </c>
    </row>
    <row r="133" spans="1:31" ht="13.5" customHeight="1">
      <c r="A133" t="s">
        <v>230</v>
      </c>
      <c r="B133" s="1">
        <v>1.0606601717798201</v>
      </c>
      <c r="C133" s="1">
        <v>5.0101571357507497</v>
      </c>
      <c r="D133" s="15">
        <f t="shared" ref="D133:E133" si="104">185+273.15</f>
        <v>458.15</v>
      </c>
      <c r="E133" s="15">
        <f t="shared" si="104"/>
        <v>458.15</v>
      </c>
      <c r="F133" t="s">
        <v>24</v>
      </c>
      <c r="G133" s="1">
        <v>0.1</v>
      </c>
      <c r="H133" t="s">
        <v>55</v>
      </c>
      <c r="I133" s="1">
        <v>0</v>
      </c>
      <c r="J133" t="s">
        <v>234</v>
      </c>
      <c r="K133" s="1">
        <v>0.1</v>
      </c>
      <c r="L133" t="s">
        <v>36</v>
      </c>
      <c r="M133" s="1">
        <v>4.57</v>
      </c>
      <c r="N133">
        <v>0</v>
      </c>
      <c r="O133" s="1">
        <v>0</v>
      </c>
      <c r="P133" t="s">
        <v>105</v>
      </c>
      <c r="Q133" s="1">
        <v>2</v>
      </c>
      <c r="R133" t="s">
        <v>60</v>
      </c>
      <c r="S133" s="1">
        <v>3.17</v>
      </c>
      <c r="T133" t="s">
        <v>106</v>
      </c>
      <c r="U133" s="1">
        <v>8</v>
      </c>
      <c r="V133">
        <v>0</v>
      </c>
      <c r="W133" s="1">
        <v>0</v>
      </c>
      <c r="X133" s="4">
        <f t="shared" si="58"/>
        <v>8</v>
      </c>
      <c r="Y133" s="1">
        <v>1.9</v>
      </c>
      <c r="Z133" s="1" t="s">
        <v>107</v>
      </c>
      <c r="AA133" s="1">
        <f t="shared" si="102"/>
        <v>0.16666666666666666</v>
      </c>
      <c r="AB133" s="1">
        <v>57</v>
      </c>
      <c r="AC133" t="s">
        <v>108</v>
      </c>
      <c r="AD133" t="s">
        <v>235</v>
      </c>
      <c r="AE133" s="26">
        <v>85</v>
      </c>
    </row>
    <row r="134" spans="1:31" ht="13.5" customHeight="1">
      <c r="A134" t="s">
        <v>230</v>
      </c>
      <c r="B134" s="1">
        <v>1.0606601717798201</v>
      </c>
      <c r="C134" s="1">
        <v>5.0101571357507497</v>
      </c>
      <c r="D134" s="15">
        <f t="shared" ref="D134:E134" si="105">245+273.15</f>
        <v>518.15</v>
      </c>
      <c r="E134" s="15">
        <f t="shared" si="105"/>
        <v>518.15</v>
      </c>
      <c r="F134" t="s">
        <v>24</v>
      </c>
      <c r="G134" s="1">
        <v>0.1</v>
      </c>
      <c r="H134" t="s">
        <v>55</v>
      </c>
      <c r="I134" s="1">
        <v>0</v>
      </c>
      <c r="J134" t="s">
        <v>234</v>
      </c>
      <c r="K134" s="1">
        <v>0.1</v>
      </c>
      <c r="L134" t="s">
        <v>36</v>
      </c>
      <c r="M134" s="1">
        <v>4.57</v>
      </c>
      <c r="N134">
        <v>0</v>
      </c>
      <c r="O134" s="1">
        <v>0</v>
      </c>
      <c r="P134" t="s">
        <v>105</v>
      </c>
      <c r="Q134" s="1">
        <v>2</v>
      </c>
      <c r="R134" t="s">
        <v>60</v>
      </c>
      <c r="S134" s="1">
        <v>3.17</v>
      </c>
      <c r="T134" t="s">
        <v>106</v>
      </c>
      <c r="U134" s="1">
        <v>8</v>
      </c>
      <c r="V134">
        <v>0</v>
      </c>
      <c r="W134" s="1">
        <v>0</v>
      </c>
      <c r="X134" s="4">
        <f t="shared" ref="X134:X164" si="106">U134+W134</f>
        <v>8</v>
      </c>
      <c r="Y134" s="1">
        <v>1.85</v>
      </c>
      <c r="Z134" s="1" t="s">
        <v>107</v>
      </c>
      <c r="AA134" s="1">
        <f t="shared" si="102"/>
        <v>0.16666666666666666</v>
      </c>
      <c r="AB134" s="1">
        <v>79</v>
      </c>
      <c r="AC134" t="s">
        <v>108</v>
      </c>
      <c r="AD134" t="s">
        <v>235</v>
      </c>
      <c r="AE134" s="26">
        <v>85</v>
      </c>
    </row>
    <row r="135" spans="1:31" ht="13.5" customHeight="1">
      <c r="A135" t="s">
        <v>236</v>
      </c>
      <c r="B135" s="1">
        <v>1.0826655695345899</v>
      </c>
      <c r="C135" s="1">
        <v>4.7601571357507497</v>
      </c>
      <c r="D135" s="15">
        <f t="shared" ref="D135:E135" si="107">185+273.15</f>
        <v>458.15</v>
      </c>
      <c r="E135" s="15">
        <f t="shared" si="107"/>
        <v>458.15</v>
      </c>
      <c r="F135" t="s">
        <v>24</v>
      </c>
      <c r="G135" s="1">
        <v>0.1</v>
      </c>
      <c r="H135" t="s">
        <v>55</v>
      </c>
      <c r="I135" s="1">
        <v>0</v>
      </c>
      <c r="J135" t="s">
        <v>234</v>
      </c>
      <c r="K135" s="1">
        <v>0.1</v>
      </c>
      <c r="L135" t="s">
        <v>22</v>
      </c>
      <c r="M135" s="1">
        <v>4.57</v>
      </c>
      <c r="N135">
        <v>0</v>
      </c>
      <c r="O135" s="1">
        <v>0</v>
      </c>
      <c r="P135" t="s">
        <v>105</v>
      </c>
      <c r="Q135" s="1">
        <v>2</v>
      </c>
      <c r="R135" t="s">
        <v>60</v>
      </c>
      <c r="S135" s="1">
        <v>3.17</v>
      </c>
      <c r="T135" t="s">
        <v>106</v>
      </c>
      <c r="U135" s="1">
        <v>8</v>
      </c>
      <c r="V135">
        <v>0</v>
      </c>
      <c r="W135" s="1">
        <v>0</v>
      </c>
      <c r="X135" s="4">
        <f t="shared" si="106"/>
        <v>8</v>
      </c>
      <c r="Y135" s="1">
        <v>3.4</v>
      </c>
      <c r="Z135" s="1" t="s">
        <v>107</v>
      </c>
      <c r="AA135" s="1">
        <f t="shared" si="102"/>
        <v>0.16666666666666666</v>
      </c>
      <c r="AB135" s="1">
        <v>31</v>
      </c>
      <c r="AC135" t="s">
        <v>108</v>
      </c>
      <c r="AD135" t="s">
        <v>235</v>
      </c>
      <c r="AE135" s="26">
        <v>85</v>
      </c>
    </row>
    <row r="136" spans="1:31" ht="13.5" customHeight="1">
      <c r="A136" s="23" t="s">
        <v>237</v>
      </c>
      <c r="B136" s="24">
        <v>0.90812375911583298</v>
      </c>
      <c r="C136" s="24">
        <v>3.9363235589561998</v>
      </c>
      <c r="D136" s="15">
        <f>0+273.15</f>
        <v>273.14999999999998</v>
      </c>
      <c r="E136" s="15">
        <f>160+273.15</f>
        <v>433.15</v>
      </c>
      <c r="F136" t="s">
        <v>73</v>
      </c>
      <c r="G136" s="1">
        <v>5.04</v>
      </c>
      <c r="H136" t="s">
        <v>55</v>
      </c>
      <c r="I136" s="1">
        <v>0</v>
      </c>
      <c r="J136" t="s">
        <v>37</v>
      </c>
      <c r="K136" s="1">
        <v>0.56000000000000005</v>
      </c>
      <c r="L136" t="s">
        <v>27</v>
      </c>
      <c r="M136" s="1">
        <v>0</v>
      </c>
      <c r="N136">
        <v>0</v>
      </c>
      <c r="O136" s="1">
        <v>0</v>
      </c>
      <c r="P136" t="s">
        <v>105</v>
      </c>
      <c r="Q136" s="1">
        <v>4.5599999999999996</v>
      </c>
      <c r="R136" t="s">
        <v>60</v>
      </c>
      <c r="S136" s="1">
        <v>4.75</v>
      </c>
      <c r="T136" t="s">
        <v>106</v>
      </c>
      <c r="U136" s="1">
        <v>20</v>
      </c>
      <c r="V136">
        <v>0</v>
      </c>
      <c r="W136" s="1">
        <v>0</v>
      </c>
      <c r="X136" s="4">
        <f t="shared" si="106"/>
        <v>20</v>
      </c>
      <c r="Y136" s="1">
        <v>3.05</v>
      </c>
      <c r="Z136" s="1" t="s">
        <v>153</v>
      </c>
      <c r="AA136" s="1">
        <v>60</v>
      </c>
      <c r="AB136" s="1">
        <v>14.2</v>
      </c>
      <c r="AC136" t="s">
        <v>108</v>
      </c>
      <c r="AD136" t="s">
        <v>238</v>
      </c>
      <c r="AE136" s="26">
        <v>86</v>
      </c>
    </row>
    <row r="137" spans="1:31" ht="13.5" customHeight="1">
      <c r="A137" s="23" t="s">
        <v>239</v>
      </c>
      <c r="B137" s="24">
        <v>0.97137901253909498</v>
      </c>
      <c r="C137" s="24">
        <v>4.59236411403666</v>
      </c>
      <c r="D137" s="15">
        <f t="shared" ref="D137:E137" si="108">70+273.15</f>
        <v>343.15</v>
      </c>
      <c r="E137" s="15">
        <f t="shared" si="108"/>
        <v>343.15</v>
      </c>
      <c r="F137" t="s">
        <v>24</v>
      </c>
      <c r="G137" s="1">
        <v>0.61099999999999999</v>
      </c>
      <c r="H137" t="s">
        <v>55</v>
      </c>
      <c r="I137" s="1">
        <v>0</v>
      </c>
      <c r="J137" t="s">
        <v>74</v>
      </c>
      <c r="K137" s="1">
        <v>6</v>
      </c>
      <c r="L137" t="s">
        <v>27</v>
      </c>
      <c r="M137" s="1">
        <v>0</v>
      </c>
      <c r="N137">
        <v>0</v>
      </c>
      <c r="O137" s="1">
        <v>0</v>
      </c>
      <c r="P137" t="s">
        <v>105</v>
      </c>
      <c r="Q137" s="1">
        <v>18.239999999999998</v>
      </c>
      <c r="R137" t="s">
        <v>60</v>
      </c>
      <c r="S137" s="1">
        <v>21.2</v>
      </c>
      <c r="T137" s="22" t="s">
        <v>106</v>
      </c>
      <c r="U137" s="1">
        <v>107.3</v>
      </c>
      <c r="V137" s="22">
        <v>0</v>
      </c>
      <c r="W137" s="1">
        <v>0</v>
      </c>
      <c r="X137" s="4">
        <f t="shared" si="106"/>
        <v>107.3</v>
      </c>
      <c r="Y137" s="1">
        <v>3.92</v>
      </c>
      <c r="Z137" s="1" t="s">
        <v>107</v>
      </c>
      <c r="AA137" s="1">
        <f>10/60</f>
        <v>0.16666666666666666</v>
      </c>
      <c r="AB137" s="1">
        <v>22.7</v>
      </c>
      <c r="AC137" s="22" t="s">
        <v>108</v>
      </c>
      <c r="AD137" s="27" t="s">
        <v>240</v>
      </c>
      <c r="AE137" s="26">
        <v>87</v>
      </c>
    </row>
    <row r="138" spans="1:31" ht="13.5" customHeight="1">
      <c r="A138" s="23" t="s">
        <v>239</v>
      </c>
      <c r="B138" s="24">
        <v>0.97137901253909498</v>
      </c>
      <c r="C138" s="24">
        <v>4.59236411403666</v>
      </c>
      <c r="D138" s="15">
        <f t="shared" ref="D138:E139" si="109">180+273.15</f>
        <v>453.15</v>
      </c>
      <c r="E138" s="15">
        <f t="shared" si="109"/>
        <v>453.15</v>
      </c>
      <c r="F138" t="s">
        <v>24</v>
      </c>
      <c r="G138" s="1">
        <v>0.4</v>
      </c>
      <c r="H138" t="s">
        <v>55</v>
      </c>
      <c r="I138" s="1">
        <v>0</v>
      </c>
      <c r="J138" t="s">
        <v>74</v>
      </c>
      <c r="K138" s="1">
        <v>0.8</v>
      </c>
      <c r="L138" t="s">
        <v>75</v>
      </c>
      <c r="M138" s="1">
        <v>0.4</v>
      </c>
      <c r="N138">
        <v>0</v>
      </c>
      <c r="O138" s="1">
        <v>0</v>
      </c>
      <c r="P138" t="s">
        <v>105</v>
      </c>
      <c r="Q138" s="1">
        <v>2.4300000000000002</v>
      </c>
      <c r="R138" t="s">
        <v>60</v>
      </c>
      <c r="S138" s="1">
        <v>3.8</v>
      </c>
      <c r="T138" s="22" t="s">
        <v>106</v>
      </c>
      <c r="U138" s="1">
        <v>11.6</v>
      </c>
      <c r="V138" s="22">
        <v>0</v>
      </c>
      <c r="W138" s="1">
        <v>0</v>
      </c>
      <c r="X138" s="4">
        <f t="shared" si="106"/>
        <v>11.6</v>
      </c>
      <c r="Y138" s="1">
        <v>4.3</v>
      </c>
      <c r="Z138" s="1" t="s">
        <v>153</v>
      </c>
      <c r="AA138" s="1">
        <f t="shared" ref="AA138:AA140" si="110">20/60</f>
        <v>0.33333333333333331</v>
      </c>
      <c r="AB138" s="1">
        <v>30</v>
      </c>
      <c r="AC138" s="22" t="s">
        <v>108</v>
      </c>
      <c r="AD138" s="27" t="s">
        <v>241</v>
      </c>
      <c r="AE138" s="26">
        <v>88</v>
      </c>
    </row>
    <row r="139" spans="1:31" ht="13.5" customHeight="1">
      <c r="A139" s="23" t="s">
        <v>242</v>
      </c>
      <c r="B139" s="24">
        <v>1.0113271405342501</v>
      </c>
      <c r="C139" s="24">
        <v>4.0858706075431597</v>
      </c>
      <c r="D139" s="15">
        <f t="shared" si="109"/>
        <v>453.15</v>
      </c>
      <c r="E139" s="15">
        <f t="shared" si="109"/>
        <v>453.15</v>
      </c>
      <c r="F139" t="s">
        <v>24</v>
      </c>
      <c r="G139" s="1">
        <v>1.5</v>
      </c>
      <c r="H139" t="s">
        <v>55</v>
      </c>
      <c r="I139" s="1">
        <v>0</v>
      </c>
      <c r="J139" t="s">
        <v>76</v>
      </c>
      <c r="K139" s="1">
        <v>0.2</v>
      </c>
      <c r="L139" t="s">
        <v>26</v>
      </c>
      <c r="M139" s="1">
        <v>0.4</v>
      </c>
      <c r="N139">
        <v>0</v>
      </c>
      <c r="O139" s="1">
        <v>0</v>
      </c>
      <c r="P139" t="s">
        <v>105</v>
      </c>
      <c r="Q139" s="1">
        <v>3.04</v>
      </c>
      <c r="R139" t="s">
        <v>60</v>
      </c>
      <c r="S139" s="1">
        <v>3.64</v>
      </c>
      <c r="T139" s="22" t="s">
        <v>106</v>
      </c>
      <c r="U139" s="1">
        <v>5.6</v>
      </c>
      <c r="V139" s="22">
        <v>0</v>
      </c>
      <c r="W139" s="1">
        <v>0</v>
      </c>
      <c r="X139" s="4">
        <f t="shared" si="106"/>
        <v>5.6</v>
      </c>
      <c r="Y139" s="1">
        <v>4.38</v>
      </c>
      <c r="Z139" s="1" t="s">
        <v>153</v>
      </c>
      <c r="AA139" s="1">
        <f t="shared" si="110"/>
        <v>0.33333333333333331</v>
      </c>
      <c r="AB139" s="1">
        <v>24</v>
      </c>
      <c r="AC139" s="22" t="s">
        <v>108</v>
      </c>
      <c r="AD139" s="27" t="s">
        <v>241</v>
      </c>
      <c r="AE139" s="26">
        <v>88</v>
      </c>
    </row>
    <row r="140" spans="1:31" ht="13.5" customHeight="1">
      <c r="A140" s="23" t="s">
        <v>243</v>
      </c>
      <c r="B140" s="24">
        <v>0.99461173617448395</v>
      </c>
      <c r="C140" s="24">
        <v>4.28067580234835</v>
      </c>
      <c r="D140" s="15">
        <f t="shared" ref="D140:E140" si="111">200+273.15</f>
        <v>473.15</v>
      </c>
      <c r="E140" s="15">
        <f t="shared" si="111"/>
        <v>473.15</v>
      </c>
      <c r="F140" t="s">
        <v>24</v>
      </c>
      <c r="G140" s="1">
        <v>1.5</v>
      </c>
      <c r="H140" t="s">
        <v>55</v>
      </c>
      <c r="I140" s="1">
        <v>0</v>
      </c>
      <c r="J140" t="s">
        <v>77</v>
      </c>
      <c r="K140" s="1">
        <v>0.2</v>
      </c>
      <c r="L140" t="s">
        <v>62</v>
      </c>
      <c r="M140" s="1">
        <v>0.3</v>
      </c>
      <c r="N140">
        <v>0</v>
      </c>
      <c r="O140" s="1">
        <v>0</v>
      </c>
      <c r="P140" t="s">
        <v>105</v>
      </c>
      <c r="Q140" s="1">
        <v>3.04</v>
      </c>
      <c r="R140" t="s">
        <v>60</v>
      </c>
      <c r="S140" s="1">
        <v>3.64</v>
      </c>
      <c r="T140" t="s">
        <v>106</v>
      </c>
      <c r="U140" s="1">
        <v>6.6</v>
      </c>
      <c r="V140">
        <v>0</v>
      </c>
      <c r="W140" s="1">
        <v>0</v>
      </c>
      <c r="X140" s="4">
        <f t="shared" si="106"/>
        <v>6.6</v>
      </c>
      <c r="Y140" s="1">
        <v>4.63</v>
      </c>
      <c r="Z140" s="1" t="s">
        <v>153</v>
      </c>
      <c r="AA140" s="1">
        <f t="shared" si="110"/>
        <v>0.33333333333333331</v>
      </c>
      <c r="AB140" s="1">
        <v>14</v>
      </c>
      <c r="AC140" t="s">
        <v>108</v>
      </c>
      <c r="AD140" s="27" t="s">
        <v>241</v>
      </c>
      <c r="AE140" s="26">
        <v>88</v>
      </c>
    </row>
    <row r="141" spans="1:31" ht="13.5" customHeight="1">
      <c r="A141" s="23" t="s">
        <v>239</v>
      </c>
      <c r="B141" s="24">
        <v>0.97137901253909498</v>
      </c>
      <c r="C141" s="24">
        <v>4.59236411403666</v>
      </c>
      <c r="D141" s="15">
        <f t="shared" ref="D141:E143" si="112">100+273.15</f>
        <v>373.15</v>
      </c>
      <c r="E141" s="15">
        <f t="shared" si="112"/>
        <v>373.15</v>
      </c>
      <c r="F141" t="s">
        <v>24</v>
      </c>
      <c r="G141" s="1">
        <v>0.4</v>
      </c>
      <c r="H141" t="s">
        <v>55</v>
      </c>
      <c r="I141" s="1">
        <v>0</v>
      </c>
      <c r="J141" t="s">
        <v>74</v>
      </c>
      <c r="K141" s="1">
        <v>0.8</v>
      </c>
      <c r="L141" t="s">
        <v>78</v>
      </c>
      <c r="M141" s="1">
        <v>1.2</v>
      </c>
      <c r="N141">
        <v>0</v>
      </c>
      <c r="O141" s="1">
        <v>0</v>
      </c>
      <c r="P141" t="s">
        <v>105</v>
      </c>
      <c r="Q141" s="1">
        <v>4.5599999999999996</v>
      </c>
      <c r="R141" t="s">
        <v>60</v>
      </c>
      <c r="S141" s="1">
        <v>4.75</v>
      </c>
      <c r="T141" t="s">
        <v>106</v>
      </c>
      <c r="U141" s="1">
        <v>15</v>
      </c>
      <c r="V141">
        <v>0</v>
      </c>
      <c r="W141" s="1">
        <v>0</v>
      </c>
      <c r="X141" s="4">
        <f t="shared" si="106"/>
        <v>15</v>
      </c>
      <c r="Y141" s="1">
        <v>4.42</v>
      </c>
      <c r="Z141" s="1" t="s">
        <v>107</v>
      </c>
      <c r="AA141" s="1">
        <v>15</v>
      </c>
      <c r="AB141" s="1">
        <v>38.53</v>
      </c>
      <c r="AC141" t="s">
        <v>108</v>
      </c>
      <c r="AD141" t="s">
        <v>244</v>
      </c>
      <c r="AE141" s="26">
        <v>89</v>
      </c>
    </row>
    <row r="142" spans="1:31" ht="13.5" customHeight="1">
      <c r="A142" s="23" t="s">
        <v>243</v>
      </c>
      <c r="B142" s="24">
        <v>0.99461173617448395</v>
      </c>
      <c r="C142" s="24">
        <v>4.28067580234835</v>
      </c>
      <c r="D142" s="15">
        <f t="shared" si="112"/>
        <v>373.15</v>
      </c>
      <c r="E142" s="15">
        <f t="shared" si="112"/>
        <v>373.15</v>
      </c>
      <c r="F142" t="s">
        <v>24</v>
      </c>
      <c r="G142" s="1">
        <v>0.4</v>
      </c>
      <c r="H142" t="s">
        <v>55</v>
      </c>
      <c r="I142" s="1">
        <v>0</v>
      </c>
      <c r="J142" t="s">
        <v>77</v>
      </c>
      <c r="K142" s="1">
        <v>1.25</v>
      </c>
      <c r="L142" t="s">
        <v>79</v>
      </c>
      <c r="M142" s="1">
        <v>1.2</v>
      </c>
      <c r="N142">
        <v>0</v>
      </c>
      <c r="O142" s="1">
        <v>0</v>
      </c>
      <c r="P142" t="s">
        <v>105</v>
      </c>
      <c r="Q142" s="1">
        <v>4.5599999999999996</v>
      </c>
      <c r="R142" t="s">
        <v>60</v>
      </c>
      <c r="S142" s="1">
        <v>4.75</v>
      </c>
      <c r="T142" t="s">
        <v>106</v>
      </c>
      <c r="U142" s="1">
        <v>15</v>
      </c>
      <c r="V142">
        <v>0</v>
      </c>
      <c r="W142" s="1">
        <v>0</v>
      </c>
      <c r="X142" s="4">
        <f t="shared" si="106"/>
        <v>15</v>
      </c>
      <c r="Y142" s="1">
        <v>4.3499999999999996</v>
      </c>
      <c r="Z142" s="1" t="s">
        <v>107</v>
      </c>
      <c r="AA142" s="1">
        <v>15</v>
      </c>
      <c r="AB142" s="1">
        <v>15.45</v>
      </c>
      <c r="AC142" t="s">
        <v>108</v>
      </c>
      <c r="AD142" t="s">
        <v>244</v>
      </c>
      <c r="AE142" s="26">
        <v>89</v>
      </c>
    </row>
    <row r="143" spans="1:31" ht="13.5" customHeight="1">
      <c r="A143" t="s">
        <v>242</v>
      </c>
      <c r="B143" s="1">
        <v>1.0113271405342501</v>
      </c>
      <c r="C143" s="1">
        <v>4.0858706075431597</v>
      </c>
      <c r="D143" s="15">
        <f t="shared" si="112"/>
        <v>373.15</v>
      </c>
      <c r="E143" s="15">
        <f t="shared" si="112"/>
        <v>373.15</v>
      </c>
      <c r="F143" t="s">
        <v>24</v>
      </c>
      <c r="G143" s="1">
        <v>0.4</v>
      </c>
      <c r="H143" t="s">
        <v>55</v>
      </c>
      <c r="I143" s="1">
        <v>0</v>
      </c>
      <c r="J143" t="s">
        <v>76</v>
      </c>
      <c r="K143" s="1">
        <v>0.08</v>
      </c>
      <c r="L143" t="s">
        <v>80</v>
      </c>
      <c r="M143" s="1">
        <v>1.2</v>
      </c>
      <c r="N143">
        <v>0</v>
      </c>
      <c r="O143" s="1">
        <v>0</v>
      </c>
      <c r="P143" t="s">
        <v>105</v>
      </c>
      <c r="Q143" s="1">
        <v>4.5599999999999996</v>
      </c>
      <c r="R143" t="s">
        <v>60</v>
      </c>
      <c r="S143" s="1">
        <v>4.75</v>
      </c>
      <c r="T143" t="s">
        <v>106</v>
      </c>
      <c r="U143" s="1">
        <v>15</v>
      </c>
      <c r="V143">
        <v>0</v>
      </c>
      <c r="W143" s="1">
        <v>0</v>
      </c>
      <c r="X143" s="4">
        <f t="shared" si="106"/>
        <v>15</v>
      </c>
      <c r="Y143" s="1">
        <v>4.08</v>
      </c>
      <c r="Z143" s="1" t="s">
        <v>107</v>
      </c>
      <c r="AA143" s="1">
        <v>15</v>
      </c>
      <c r="AB143" s="1">
        <v>23.8</v>
      </c>
      <c r="AC143" t="s">
        <v>108</v>
      </c>
      <c r="AD143" t="s">
        <v>244</v>
      </c>
      <c r="AE143" s="26">
        <v>89</v>
      </c>
    </row>
    <row r="144" spans="1:31" ht="13.5" customHeight="1">
      <c r="A144" s="23" t="s">
        <v>245</v>
      </c>
      <c r="B144" s="24">
        <v>0.99461173617448395</v>
      </c>
      <c r="C144" s="24">
        <v>4.28067580234835</v>
      </c>
      <c r="D144" s="15">
        <f t="shared" ref="D144:E147" si="113">70+273.15</f>
        <v>343.15</v>
      </c>
      <c r="E144" s="15">
        <f t="shared" si="113"/>
        <v>343.15</v>
      </c>
      <c r="F144" t="s">
        <v>24</v>
      </c>
      <c r="G144" s="1">
        <v>0.17499999999999999</v>
      </c>
      <c r="H144" t="s">
        <v>55</v>
      </c>
      <c r="I144" s="1">
        <v>0</v>
      </c>
      <c r="J144" t="s">
        <v>77</v>
      </c>
      <c r="K144" s="1">
        <v>0.04</v>
      </c>
      <c r="L144" t="s">
        <v>27</v>
      </c>
      <c r="M144" s="1">
        <v>0</v>
      </c>
      <c r="N144">
        <v>0</v>
      </c>
      <c r="O144" s="1">
        <v>0</v>
      </c>
      <c r="P144" t="s">
        <v>214</v>
      </c>
      <c r="Q144" s="1">
        <v>1.6</v>
      </c>
      <c r="R144" t="s">
        <v>246</v>
      </c>
      <c r="S144" s="1">
        <v>3.12</v>
      </c>
      <c r="T144" t="s">
        <v>106</v>
      </c>
      <c r="U144" s="1">
        <v>12.81</v>
      </c>
      <c r="V144">
        <v>0</v>
      </c>
      <c r="W144" s="1">
        <v>0</v>
      </c>
      <c r="X144" s="4">
        <f t="shared" si="106"/>
        <v>12.81</v>
      </c>
      <c r="Y144" s="1">
        <v>4.2469999999999999</v>
      </c>
      <c r="Z144" s="1" t="s">
        <v>153</v>
      </c>
      <c r="AA144" s="1">
        <f t="shared" ref="AA144:AA147" si="114">25/60</f>
        <v>0.41666666666666669</v>
      </c>
      <c r="AB144" s="1">
        <v>90</v>
      </c>
      <c r="AC144" t="s">
        <v>108</v>
      </c>
      <c r="AD144" s="27" t="s">
        <v>247</v>
      </c>
      <c r="AE144" s="26">
        <v>90</v>
      </c>
    </row>
    <row r="145" spans="1:31" ht="13.5" customHeight="1">
      <c r="A145" s="23" t="s">
        <v>245</v>
      </c>
      <c r="B145" s="24">
        <v>0.99461173617448395</v>
      </c>
      <c r="C145" s="24">
        <v>4.28067580234835</v>
      </c>
      <c r="D145" s="15">
        <f t="shared" si="113"/>
        <v>343.15</v>
      </c>
      <c r="E145" s="15">
        <f t="shared" si="113"/>
        <v>343.15</v>
      </c>
      <c r="F145" t="s">
        <v>24</v>
      </c>
      <c r="G145" s="1">
        <v>0.17499999999999999</v>
      </c>
      <c r="H145" t="s">
        <v>55</v>
      </c>
      <c r="I145" s="1">
        <v>0</v>
      </c>
      <c r="J145" t="s">
        <v>77</v>
      </c>
      <c r="K145" s="1">
        <v>0.04</v>
      </c>
      <c r="L145" t="s">
        <v>27</v>
      </c>
      <c r="M145" s="1">
        <v>0</v>
      </c>
      <c r="N145">
        <v>0</v>
      </c>
      <c r="O145" s="1">
        <v>0</v>
      </c>
      <c r="P145" t="s">
        <v>248</v>
      </c>
      <c r="Q145" s="1">
        <v>1.6</v>
      </c>
      <c r="R145" t="s">
        <v>249</v>
      </c>
      <c r="S145" s="1">
        <v>2.68</v>
      </c>
      <c r="T145" t="s">
        <v>106</v>
      </c>
      <c r="U145" s="1">
        <v>12.81</v>
      </c>
      <c r="V145">
        <v>0</v>
      </c>
      <c r="W145" s="1">
        <v>0</v>
      </c>
      <c r="X145" s="4">
        <f t="shared" si="106"/>
        <v>12.81</v>
      </c>
      <c r="Y145" s="1">
        <v>4.37</v>
      </c>
      <c r="Z145" s="1" t="s">
        <v>153</v>
      </c>
      <c r="AA145" s="1">
        <f t="shared" si="114"/>
        <v>0.41666666666666669</v>
      </c>
      <c r="AB145" s="1">
        <v>25</v>
      </c>
      <c r="AC145" t="s">
        <v>108</v>
      </c>
      <c r="AD145" s="27" t="s">
        <v>247</v>
      </c>
      <c r="AE145" s="26">
        <v>90</v>
      </c>
    </row>
    <row r="146" spans="1:31" ht="13.5" customHeight="1">
      <c r="A146" s="23" t="s">
        <v>245</v>
      </c>
      <c r="B146" s="24">
        <v>0.99461173617448395</v>
      </c>
      <c r="C146" s="24">
        <v>4.28067580234835</v>
      </c>
      <c r="D146" s="15">
        <f t="shared" si="113"/>
        <v>343.15</v>
      </c>
      <c r="E146" s="15">
        <f t="shared" si="113"/>
        <v>343.15</v>
      </c>
      <c r="F146" t="s">
        <v>24</v>
      </c>
      <c r="G146" s="1">
        <v>0.17499999999999999</v>
      </c>
      <c r="H146" t="s">
        <v>55</v>
      </c>
      <c r="I146" s="1">
        <v>0</v>
      </c>
      <c r="J146" t="s">
        <v>77</v>
      </c>
      <c r="K146" s="1">
        <v>0.04</v>
      </c>
      <c r="L146" t="s">
        <v>27</v>
      </c>
      <c r="M146" s="1">
        <v>0</v>
      </c>
      <c r="N146">
        <v>0</v>
      </c>
      <c r="O146" s="1">
        <v>0</v>
      </c>
      <c r="P146" t="s">
        <v>105</v>
      </c>
      <c r="Q146" s="1">
        <v>1.6</v>
      </c>
      <c r="R146" t="s">
        <v>60</v>
      </c>
      <c r="S146" s="1">
        <v>2.2000000000000002</v>
      </c>
      <c r="T146" t="s">
        <v>106</v>
      </c>
      <c r="U146" s="1">
        <v>12.81</v>
      </c>
      <c r="V146">
        <v>0</v>
      </c>
      <c r="W146" s="1">
        <v>0</v>
      </c>
      <c r="X146" s="4">
        <f t="shared" si="106"/>
        <v>12.81</v>
      </c>
      <c r="Y146" s="1">
        <v>4.58</v>
      </c>
      <c r="Z146" s="1" t="s">
        <v>153</v>
      </c>
      <c r="AA146" s="1">
        <f t="shared" si="114"/>
        <v>0.41666666666666669</v>
      </c>
      <c r="AB146" s="1">
        <v>22</v>
      </c>
      <c r="AC146" t="s">
        <v>108</v>
      </c>
      <c r="AD146" s="27" t="s">
        <v>247</v>
      </c>
      <c r="AE146" s="26">
        <v>90</v>
      </c>
    </row>
    <row r="147" spans="1:31" ht="13.5" customHeight="1">
      <c r="A147" s="23" t="s">
        <v>245</v>
      </c>
      <c r="B147" s="24">
        <v>0.99461173617448395</v>
      </c>
      <c r="C147" s="24">
        <v>4.28067580234835</v>
      </c>
      <c r="D147" s="15">
        <f t="shared" si="113"/>
        <v>343.15</v>
      </c>
      <c r="E147" s="15">
        <f t="shared" si="113"/>
        <v>343.15</v>
      </c>
      <c r="F147" t="s">
        <v>24</v>
      </c>
      <c r="G147" s="1">
        <v>0.17499999999999999</v>
      </c>
      <c r="H147" t="s">
        <v>55</v>
      </c>
      <c r="I147" s="1">
        <v>0</v>
      </c>
      <c r="J147" t="s">
        <v>77</v>
      </c>
      <c r="K147" s="1">
        <v>0.04</v>
      </c>
      <c r="L147" t="s">
        <v>27</v>
      </c>
      <c r="M147" s="1">
        <v>0</v>
      </c>
      <c r="N147">
        <v>0</v>
      </c>
      <c r="O147" s="1">
        <v>0</v>
      </c>
      <c r="P147" t="s">
        <v>105</v>
      </c>
      <c r="Q147" s="1">
        <v>1.6</v>
      </c>
      <c r="R147" t="s">
        <v>249</v>
      </c>
      <c r="S147" s="1">
        <v>2.68</v>
      </c>
      <c r="T147" t="s">
        <v>106</v>
      </c>
      <c r="U147" s="1">
        <v>12.81</v>
      </c>
      <c r="V147">
        <v>0</v>
      </c>
      <c r="W147" s="1">
        <v>0</v>
      </c>
      <c r="X147" s="4">
        <f t="shared" si="106"/>
        <v>12.81</v>
      </c>
      <c r="Y147" s="1">
        <v>4.4000000000000004</v>
      </c>
      <c r="Z147" s="1" t="s">
        <v>153</v>
      </c>
      <c r="AA147" s="1">
        <f t="shared" si="114"/>
        <v>0.41666666666666669</v>
      </c>
      <c r="AB147" s="1">
        <v>32.4</v>
      </c>
      <c r="AC147" t="s">
        <v>108</v>
      </c>
      <c r="AD147" s="27" t="s">
        <v>247</v>
      </c>
      <c r="AE147" s="26">
        <v>90</v>
      </c>
    </row>
    <row r="148" spans="1:31" ht="13.5" customHeight="1">
      <c r="A148" s="23" t="s">
        <v>239</v>
      </c>
      <c r="B148" s="24">
        <v>0.97137901253909498</v>
      </c>
      <c r="C148" s="24">
        <v>4.59236411403666</v>
      </c>
      <c r="D148" s="15">
        <f t="shared" ref="D148:E148" si="115">110+273.15</f>
        <v>383.15</v>
      </c>
      <c r="E148" s="15">
        <f t="shared" si="115"/>
        <v>383.15</v>
      </c>
      <c r="F148" t="s">
        <v>24</v>
      </c>
      <c r="G148" s="1">
        <v>0.42099999999999999</v>
      </c>
      <c r="H148" t="s">
        <v>55</v>
      </c>
      <c r="I148" s="1">
        <v>0</v>
      </c>
      <c r="J148" t="s">
        <v>74</v>
      </c>
      <c r="K148" s="1">
        <v>1.22</v>
      </c>
      <c r="L148" t="s">
        <v>27</v>
      </c>
      <c r="M148" s="1">
        <v>0</v>
      </c>
      <c r="N148">
        <v>0</v>
      </c>
      <c r="O148" s="1">
        <v>0</v>
      </c>
      <c r="P148" t="s">
        <v>105</v>
      </c>
      <c r="Q148" s="1">
        <v>9.1199999999999992</v>
      </c>
      <c r="R148" t="s">
        <v>60</v>
      </c>
      <c r="S148" s="1">
        <v>10.84</v>
      </c>
      <c r="T148" t="s">
        <v>106</v>
      </c>
      <c r="U148" s="1">
        <v>21.78</v>
      </c>
      <c r="V148">
        <v>0</v>
      </c>
      <c r="W148" s="1">
        <v>0</v>
      </c>
      <c r="X148" s="4">
        <f t="shared" si="106"/>
        <v>21.78</v>
      </c>
      <c r="Y148" s="1">
        <v>4.0999999999999996</v>
      </c>
      <c r="Z148" s="1" t="s">
        <v>107</v>
      </c>
      <c r="AA148" s="1">
        <f>10/60</f>
        <v>0.16666666666666666</v>
      </c>
      <c r="AB148" s="1">
        <v>43</v>
      </c>
      <c r="AC148" t="s">
        <v>108</v>
      </c>
      <c r="AD148" s="27" t="s">
        <v>250</v>
      </c>
      <c r="AE148" s="26">
        <v>91</v>
      </c>
    </row>
    <row r="149" spans="1:31" ht="13.5" customHeight="1">
      <c r="A149" t="s">
        <v>251</v>
      </c>
      <c r="B149" s="1">
        <v>0.97322223647180695</v>
      </c>
      <c r="C149" s="1">
        <v>4.1318181987597802</v>
      </c>
      <c r="D149" s="15">
        <f t="shared" ref="D149:E154" si="116">180+273.15</f>
        <v>453.15</v>
      </c>
      <c r="E149" s="15">
        <f t="shared" si="116"/>
        <v>453.15</v>
      </c>
      <c r="F149" t="s">
        <v>24</v>
      </c>
      <c r="G149" s="1">
        <v>2.4550000000000001</v>
      </c>
      <c r="H149" t="s">
        <v>55</v>
      </c>
      <c r="I149" s="1">
        <v>0</v>
      </c>
      <c r="J149" s="23" t="s">
        <v>43</v>
      </c>
      <c r="K149" s="1">
        <v>1.42</v>
      </c>
      <c r="L149" t="s">
        <v>81</v>
      </c>
      <c r="M149" s="1">
        <v>2.93</v>
      </c>
      <c r="N149">
        <v>0</v>
      </c>
      <c r="O149" s="1">
        <v>0</v>
      </c>
      <c r="P149" t="s">
        <v>105</v>
      </c>
      <c r="Q149" s="1">
        <v>3.04</v>
      </c>
      <c r="R149" t="s">
        <v>60</v>
      </c>
      <c r="S149" s="1">
        <v>3.36</v>
      </c>
      <c r="T149" t="s">
        <v>106</v>
      </c>
      <c r="U149" s="1">
        <v>10.74</v>
      </c>
      <c r="V149">
        <v>0</v>
      </c>
      <c r="W149" s="1">
        <v>0</v>
      </c>
      <c r="X149" s="4">
        <f t="shared" si="106"/>
        <v>10.74</v>
      </c>
      <c r="Y149" s="1">
        <v>3.35</v>
      </c>
      <c r="Z149" s="1" t="s">
        <v>153</v>
      </c>
      <c r="AA149" s="1">
        <v>1</v>
      </c>
      <c r="AB149" s="1">
        <v>95.7</v>
      </c>
      <c r="AC149" t="s">
        <v>108</v>
      </c>
      <c r="AD149" s="27" t="s">
        <v>252</v>
      </c>
      <c r="AE149" s="26">
        <v>92</v>
      </c>
    </row>
    <row r="150" spans="1:31" ht="13.5" customHeight="1">
      <c r="A150" s="23" t="s">
        <v>253</v>
      </c>
      <c r="B150" s="24">
        <v>0.86119273648988504</v>
      </c>
      <c r="C150" s="24">
        <v>4.2390859987923903</v>
      </c>
      <c r="D150" s="15">
        <f t="shared" si="116"/>
        <v>453.15</v>
      </c>
      <c r="E150" s="15">
        <f t="shared" si="116"/>
        <v>453.15</v>
      </c>
      <c r="F150" t="s">
        <v>24</v>
      </c>
      <c r="G150" s="1">
        <v>3.2599999999999997E-2</v>
      </c>
      <c r="H150" t="s">
        <v>55</v>
      </c>
      <c r="I150" s="1">
        <v>0</v>
      </c>
      <c r="J150" t="s">
        <v>82</v>
      </c>
      <c r="K150" s="1">
        <v>2.4700000000000002</v>
      </c>
      <c r="L150" t="s">
        <v>59</v>
      </c>
      <c r="M150" s="1">
        <v>2.4</v>
      </c>
      <c r="N150" t="s">
        <v>114</v>
      </c>
      <c r="O150" s="1">
        <v>0.77</v>
      </c>
      <c r="P150" t="s">
        <v>105</v>
      </c>
      <c r="Q150" s="1">
        <v>0.61</v>
      </c>
      <c r="R150" t="s">
        <v>60</v>
      </c>
      <c r="S150" s="1">
        <v>0.63</v>
      </c>
      <c r="T150" t="s">
        <v>106</v>
      </c>
      <c r="U150" s="1">
        <v>6</v>
      </c>
      <c r="V150">
        <v>0</v>
      </c>
      <c r="W150" s="1">
        <v>0</v>
      </c>
      <c r="X150" s="4">
        <f t="shared" si="106"/>
        <v>6</v>
      </c>
      <c r="Y150" s="1">
        <v>1.87</v>
      </c>
      <c r="Z150" s="1" t="s">
        <v>153</v>
      </c>
      <c r="AA150" s="1">
        <v>1</v>
      </c>
      <c r="AB150" s="1">
        <v>26</v>
      </c>
      <c r="AC150" t="s">
        <v>108</v>
      </c>
      <c r="AD150" s="27" t="s">
        <v>254</v>
      </c>
      <c r="AE150" s="26">
        <v>93</v>
      </c>
    </row>
    <row r="151" spans="1:31" ht="13.5" customHeight="1">
      <c r="A151" s="23" t="s">
        <v>253</v>
      </c>
      <c r="B151" s="24">
        <v>0.86119273648988504</v>
      </c>
      <c r="C151" s="24">
        <v>4.2390859987923903</v>
      </c>
      <c r="D151" s="15">
        <f t="shared" si="116"/>
        <v>453.15</v>
      </c>
      <c r="E151" s="15">
        <f t="shared" si="116"/>
        <v>453.15</v>
      </c>
      <c r="F151" t="s">
        <v>24</v>
      </c>
      <c r="G151" s="1">
        <v>3.2599999999999997E-2</v>
      </c>
      <c r="H151" t="s">
        <v>55</v>
      </c>
      <c r="I151" s="1">
        <v>0</v>
      </c>
      <c r="J151" t="s">
        <v>82</v>
      </c>
      <c r="K151" s="1">
        <v>3.46</v>
      </c>
      <c r="L151" t="s">
        <v>59</v>
      </c>
      <c r="M151" s="1">
        <v>2.4</v>
      </c>
      <c r="N151" t="s">
        <v>114</v>
      </c>
      <c r="O151" s="1">
        <v>0.77</v>
      </c>
      <c r="P151" t="s">
        <v>105</v>
      </c>
      <c r="Q151" s="1">
        <v>0.61</v>
      </c>
      <c r="R151" t="s">
        <v>60</v>
      </c>
      <c r="S151" s="1">
        <v>0.63</v>
      </c>
      <c r="T151" t="s">
        <v>106</v>
      </c>
      <c r="U151" s="1">
        <v>6</v>
      </c>
      <c r="V151">
        <v>0</v>
      </c>
      <c r="W151" s="1">
        <v>0</v>
      </c>
      <c r="X151" s="4">
        <f t="shared" si="106"/>
        <v>6</v>
      </c>
      <c r="Y151" s="1">
        <v>1.87</v>
      </c>
      <c r="Z151" s="1" t="s">
        <v>153</v>
      </c>
      <c r="AA151" s="1">
        <v>1</v>
      </c>
      <c r="AB151" s="1">
        <v>33</v>
      </c>
      <c r="AC151" t="s">
        <v>108</v>
      </c>
      <c r="AD151" s="27" t="s">
        <v>254</v>
      </c>
      <c r="AE151" s="26">
        <v>93</v>
      </c>
    </row>
    <row r="152" spans="1:31" ht="13.5" customHeight="1">
      <c r="A152" s="23" t="s">
        <v>253</v>
      </c>
      <c r="B152" s="24">
        <v>0.86119273648988504</v>
      </c>
      <c r="C152" s="24">
        <v>4.2390859987923903</v>
      </c>
      <c r="D152" s="15">
        <f t="shared" si="116"/>
        <v>453.15</v>
      </c>
      <c r="E152" s="15">
        <f t="shared" si="116"/>
        <v>453.15</v>
      </c>
      <c r="F152" t="s">
        <v>24</v>
      </c>
      <c r="G152" s="1">
        <v>3.2599999999999997E-2</v>
      </c>
      <c r="H152" t="s">
        <v>55</v>
      </c>
      <c r="I152" s="1">
        <v>0</v>
      </c>
      <c r="J152" t="s">
        <v>82</v>
      </c>
      <c r="K152" s="1">
        <v>3.95</v>
      </c>
      <c r="L152" t="s">
        <v>59</v>
      </c>
      <c r="M152" s="1">
        <v>2.4</v>
      </c>
      <c r="N152" t="s">
        <v>114</v>
      </c>
      <c r="O152" s="1">
        <v>0.77</v>
      </c>
      <c r="P152" t="s">
        <v>105</v>
      </c>
      <c r="Q152" s="1">
        <v>0.61</v>
      </c>
      <c r="R152" t="s">
        <v>60</v>
      </c>
      <c r="S152" s="1">
        <v>0.63</v>
      </c>
      <c r="T152" t="s">
        <v>106</v>
      </c>
      <c r="U152" s="1">
        <v>6</v>
      </c>
      <c r="V152">
        <v>0</v>
      </c>
      <c r="W152" s="1">
        <v>0</v>
      </c>
      <c r="X152" s="4">
        <f t="shared" si="106"/>
        <v>6</v>
      </c>
      <c r="Y152" s="1">
        <v>1.87</v>
      </c>
      <c r="Z152" s="1" t="s">
        <v>153</v>
      </c>
      <c r="AA152" s="1">
        <v>1</v>
      </c>
      <c r="AB152" s="1">
        <v>37</v>
      </c>
      <c r="AC152" t="s">
        <v>108</v>
      </c>
      <c r="AD152" s="27" t="s">
        <v>254</v>
      </c>
      <c r="AE152" s="26">
        <v>93</v>
      </c>
    </row>
    <row r="153" spans="1:31" ht="13.5" customHeight="1">
      <c r="A153" s="23" t="s">
        <v>255</v>
      </c>
      <c r="B153" s="24">
        <v>0.98464015946795702</v>
      </c>
      <c r="C153" s="24">
        <v>4.7360982588061802</v>
      </c>
      <c r="D153" s="15">
        <f t="shared" si="116"/>
        <v>453.15</v>
      </c>
      <c r="E153" s="15">
        <f t="shared" si="116"/>
        <v>453.15</v>
      </c>
      <c r="F153" t="s">
        <v>24</v>
      </c>
      <c r="G153" s="1">
        <v>1.2E-2</v>
      </c>
      <c r="H153" t="s">
        <v>55</v>
      </c>
      <c r="I153" s="1">
        <v>0</v>
      </c>
      <c r="J153" t="s">
        <v>83</v>
      </c>
      <c r="K153" s="1">
        <v>0.08</v>
      </c>
      <c r="L153" t="s">
        <v>27</v>
      </c>
      <c r="M153" s="1">
        <v>0</v>
      </c>
      <c r="N153">
        <v>0</v>
      </c>
      <c r="O153" s="1">
        <v>0</v>
      </c>
      <c r="P153" t="s">
        <v>105</v>
      </c>
      <c r="Q153" s="1">
        <v>0.61</v>
      </c>
      <c r="R153" t="s">
        <v>60</v>
      </c>
      <c r="S153" s="1">
        <v>0.66</v>
      </c>
      <c r="T153" t="s">
        <v>106</v>
      </c>
      <c r="U153" s="1">
        <v>5.19</v>
      </c>
      <c r="V153">
        <v>0</v>
      </c>
      <c r="W153" s="1">
        <v>0</v>
      </c>
      <c r="X153" s="4">
        <f t="shared" si="106"/>
        <v>5.19</v>
      </c>
      <c r="Y153" s="1">
        <v>1.6</v>
      </c>
      <c r="Z153" s="1" t="s">
        <v>107</v>
      </c>
      <c r="AA153" s="1">
        <v>2</v>
      </c>
      <c r="AB153" s="1">
        <v>45</v>
      </c>
      <c r="AC153" t="s">
        <v>108</v>
      </c>
      <c r="AD153" s="27" t="s">
        <v>256</v>
      </c>
      <c r="AE153" s="26">
        <v>94</v>
      </c>
    </row>
    <row r="154" spans="1:31" ht="13.5" customHeight="1">
      <c r="A154" s="23" t="s">
        <v>257</v>
      </c>
      <c r="B154" s="24">
        <v>0.89596138734196096</v>
      </c>
      <c r="C154" s="24">
        <v>4.1711395181313398</v>
      </c>
      <c r="D154" s="15">
        <f t="shared" si="116"/>
        <v>453.15</v>
      </c>
      <c r="E154" s="15">
        <f t="shared" si="116"/>
        <v>453.15</v>
      </c>
      <c r="F154" t="s">
        <v>24</v>
      </c>
      <c r="G154" s="1">
        <v>3.8600000000000002E-2</v>
      </c>
      <c r="H154" t="s">
        <v>55</v>
      </c>
      <c r="I154" s="1">
        <v>0</v>
      </c>
      <c r="J154" t="s">
        <v>84</v>
      </c>
      <c r="K154" s="1">
        <v>0.188</v>
      </c>
      <c r="L154" t="s">
        <v>27</v>
      </c>
      <c r="M154" s="1">
        <v>0</v>
      </c>
      <c r="N154">
        <v>0</v>
      </c>
      <c r="O154" s="1">
        <v>0</v>
      </c>
      <c r="P154" t="s">
        <v>105</v>
      </c>
      <c r="Q154" s="1">
        <v>1.82</v>
      </c>
      <c r="R154" t="s">
        <v>60</v>
      </c>
      <c r="S154" s="1">
        <v>2.06</v>
      </c>
      <c r="T154" t="s">
        <v>106</v>
      </c>
      <c r="U154" s="1">
        <v>6.75</v>
      </c>
      <c r="V154">
        <v>0</v>
      </c>
      <c r="W154" s="1">
        <v>0</v>
      </c>
      <c r="X154" s="4">
        <f t="shared" si="106"/>
        <v>6.75</v>
      </c>
      <c r="Y154" s="1">
        <v>1.87</v>
      </c>
      <c r="Z154" s="1" t="s">
        <v>153</v>
      </c>
      <c r="AA154" s="1">
        <f>30/60</f>
        <v>0.5</v>
      </c>
      <c r="AB154" s="1">
        <v>9.5</v>
      </c>
      <c r="AC154" t="s">
        <v>108</v>
      </c>
      <c r="AD154" s="27" t="s">
        <v>258</v>
      </c>
      <c r="AE154" s="26">
        <v>95</v>
      </c>
    </row>
    <row r="155" spans="1:31" ht="13.5" customHeight="1">
      <c r="A155" s="23" t="s">
        <v>259</v>
      </c>
      <c r="B155" s="24">
        <v>0.94537102267331896</v>
      </c>
      <c r="C155" s="24">
        <v>3.80454331715729</v>
      </c>
      <c r="D155" s="15">
        <f t="shared" ref="D155:E155" si="117">300+273.15</f>
        <v>573.15</v>
      </c>
      <c r="E155" s="15">
        <f t="shared" si="117"/>
        <v>573.15</v>
      </c>
      <c r="F155" t="s">
        <v>24</v>
      </c>
      <c r="G155" s="1">
        <v>0.14030000000000001</v>
      </c>
      <c r="H155" t="s">
        <v>55</v>
      </c>
      <c r="I155" s="1">
        <v>0</v>
      </c>
      <c r="J155" t="s">
        <v>41</v>
      </c>
      <c r="K155" s="1">
        <v>0.45800000000000002</v>
      </c>
      <c r="L155" t="s">
        <v>27</v>
      </c>
      <c r="M155" s="1">
        <v>0</v>
      </c>
      <c r="N155">
        <v>0</v>
      </c>
      <c r="O155" s="1">
        <v>0</v>
      </c>
      <c r="P155" t="s">
        <v>105</v>
      </c>
      <c r="Q155" s="1">
        <v>3.04</v>
      </c>
      <c r="R155" t="s">
        <v>60</v>
      </c>
      <c r="S155" s="1">
        <v>4.5599999999999996</v>
      </c>
      <c r="T155" t="s">
        <v>106</v>
      </c>
      <c r="U155" s="1">
        <v>10.96</v>
      </c>
      <c r="V155">
        <v>0</v>
      </c>
      <c r="W155" s="1">
        <v>0</v>
      </c>
      <c r="X155" s="4">
        <f t="shared" si="106"/>
        <v>10.96</v>
      </c>
      <c r="Y155" s="1">
        <v>5.13</v>
      </c>
      <c r="Z155" s="1" t="s">
        <v>107</v>
      </c>
      <c r="AA155" s="1">
        <f t="shared" ref="AA155:AA156" si="118">1/60</f>
        <v>1.6666666666666666E-2</v>
      </c>
      <c r="AB155" s="1">
        <v>100</v>
      </c>
      <c r="AC155" t="s">
        <v>108</v>
      </c>
      <c r="AD155" s="27" t="s">
        <v>260</v>
      </c>
      <c r="AE155" s="26">
        <v>96</v>
      </c>
    </row>
    <row r="156" spans="1:31" ht="13.5" customHeight="1">
      <c r="A156" t="s">
        <v>261</v>
      </c>
      <c r="B156" s="1">
        <v>0.88149460222241904</v>
      </c>
      <c r="C156" s="1">
        <v>3.8999555640097801</v>
      </c>
      <c r="D156" s="15">
        <f>120+273.15</f>
        <v>393.15</v>
      </c>
      <c r="E156" s="15">
        <f>200+273.15</f>
        <v>473.15</v>
      </c>
      <c r="F156" t="s">
        <v>24</v>
      </c>
      <c r="G156" s="1">
        <v>6.2E-2</v>
      </c>
      <c r="H156" t="s">
        <v>55</v>
      </c>
      <c r="I156" s="1">
        <v>0</v>
      </c>
      <c r="J156" t="s">
        <v>64</v>
      </c>
      <c r="K156" s="1">
        <v>225</v>
      </c>
      <c r="L156" t="s">
        <v>27</v>
      </c>
      <c r="M156" s="1">
        <v>0</v>
      </c>
      <c r="N156">
        <v>0</v>
      </c>
      <c r="O156" s="1">
        <v>0</v>
      </c>
      <c r="P156" t="s">
        <v>105</v>
      </c>
      <c r="Q156" s="1">
        <v>9.1199999999999992</v>
      </c>
      <c r="R156" t="s">
        <v>60</v>
      </c>
      <c r="S156" s="1">
        <v>10.11</v>
      </c>
      <c r="T156" t="s">
        <v>106</v>
      </c>
      <c r="U156" s="1">
        <v>32.31</v>
      </c>
      <c r="V156">
        <v>0</v>
      </c>
      <c r="W156" s="1">
        <v>0</v>
      </c>
      <c r="X156" s="4">
        <f t="shared" si="106"/>
        <v>32.31</v>
      </c>
      <c r="Y156" s="1">
        <v>2.98</v>
      </c>
      <c r="Z156" s="1" t="s">
        <v>107</v>
      </c>
      <c r="AA156" s="1">
        <f t="shared" si="118"/>
        <v>1.6666666666666666E-2</v>
      </c>
      <c r="AB156" s="1">
        <v>300</v>
      </c>
      <c r="AC156" t="s">
        <v>108</v>
      </c>
      <c r="AD156" s="27" t="s">
        <v>262</v>
      </c>
      <c r="AE156" s="26">
        <v>97</v>
      </c>
    </row>
    <row r="157" spans="1:31" ht="13.5" customHeight="1">
      <c r="A157" t="s">
        <v>263</v>
      </c>
      <c r="B157" s="1">
        <v>0.87308361406956303</v>
      </c>
      <c r="C157" s="1">
        <v>4.0303903466184803</v>
      </c>
      <c r="D157" s="15">
        <f t="shared" ref="D157:E158" si="119">170+273.15</f>
        <v>443.15</v>
      </c>
      <c r="E157" s="15">
        <f t="shared" si="119"/>
        <v>443.15</v>
      </c>
      <c r="F157" t="s">
        <v>24</v>
      </c>
      <c r="G157" s="1">
        <v>0.39900000000000002</v>
      </c>
      <c r="H157" t="s">
        <v>55</v>
      </c>
      <c r="I157" s="1">
        <v>0</v>
      </c>
      <c r="J157" t="s">
        <v>47</v>
      </c>
      <c r="K157" s="1">
        <v>2.5</v>
      </c>
      <c r="L157" t="s">
        <v>27</v>
      </c>
      <c r="M157" s="1">
        <v>0</v>
      </c>
      <c r="N157" t="s">
        <v>114</v>
      </c>
      <c r="O157" s="1">
        <v>5.61</v>
      </c>
      <c r="P157" t="s">
        <v>105</v>
      </c>
      <c r="Q157" s="1">
        <v>1.22</v>
      </c>
      <c r="R157" t="s">
        <v>60</v>
      </c>
      <c r="S157" s="1">
        <v>1.74</v>
      </c>
      <c r="T157" t="s">
        <v>106</v>
      </c>
      <c r="U157" s="1">
        <v>12</v>
      </c>
      <c r="V157">
        <v>0</v>
      </c>
      <c r="W157" s="1">
        <v>0</v>
      </c>
      <c r="X157" s="4">
        <f t="shared" si="106"/>
        <v>12</v>
      </c>
      <c r="Y157" s="1">
        <v>1.76</v>
      </c>
      <c r="Z157" s="1" t="s">
        <v>153</v>
      </c>
      <c r="AA157" s="1">
        <v>1</v>
      </c>
      <c r="AB157" s="1">
        <v>25</v>
      </c>
      <c r="AC157" t="s">
        <v>108</v>
      </c>
      <c r="AD157" s="27" t="s">
        <v>264</v>
      </c>
      <c r="AE157" s="26">
        <v>98</v>
      </c>
    </row>
    <row r="158" spans="1:31" ht="13.5" customHeight="1">
      <c r="A158" t="s">
        <v>253</v>
      </c>
      <c r="B158" s="1">
        <v>0.86119273648988504</v>
      </c>
      <c r="C158" s="1">
        <v>4.2390859987923903</v>
      </c>
      <c r="D158" s="15">
        <f t="shared" si="119"/>
        <v>443.15</v>
      </c>
      <c r="E158" s="15">
        <f t="shared" si="119"/>
        <v>443.15</v>
      </c>
      <c r="F158" t="s">
        <v>24</v>
      </c>
      <c r="G158" s="1">
        <v>0.39900000000000002</v>
      </c>
      <c r="H158" t="s">
        <v>55</v>
      </c>
      <c r="I158" s="1">
        <v>0</v>
      </c>
      <c r="J158" t="s">
        <v>48</v>
      </c>
      <c r="K158" s="1">
        <v>2.5</v>
      </c>
      <c r="L158" t="s">
        <v>27</v>
      </c>
      <c r="M158" s="1">
        <v>0</v>
      </c>
      <c r="N158" t="s">
        <v>114</v>
      </c>
      <c r="O158" s="1">
        <v>5.61</v>
      </c>
      <c r="P158" t="s">
        <v>105</v>
      </c>
      <c r="Q158" s="1">
        <v>1.22</v>
      </c>
      <c r="R158" t="s">
        <v>60</v>
      </c>
      <c r="S158" s="1">
        <v>1.74</v>
      </c>
      <c r="T158" t="s">
        <v>106</v>
      </c>
      <c r="U158" s="1">
        <v>12</v>
      </c>
      <c r="V158">
        <v>0</v>
      </c>
      <c r="W158" s="1">
        <v>0</v>
      </c>
      <c r="X158" s="4">
        <f t="shared" si="106"/>
        <v>12</v>
      </c>
      <c r="Y158" s="1">
        <v>1.32</v>
      </c>
      <c r="Z158" s="1" t="s">
        <v>153</v>
      </c>
      <c r="AA158" s="1">
        <v>1</v>
      </c>
      <c r="AB158" s="1">
        <v>7</v>
      </c>
      <c r="AC158" t="s">
        <v>108</v>
      </c>
      <c r="AD158" s="27" t="s">
        <v>264</v>
      </c>
      <c r="AE158" s="26">
        <v>98</v>
      </c>
    </row>
    <row r="159" spans="1:31" ht="13.5" customHeight="1">
      <c r="A159" t="s">
        <v>265</v>
      </c>
      <c r="B159" s="1">
        <v>0.87557853106656403</v>
      </c>
      <c r="C159" s="1">
        <v>3.9350455047275998</v>
      </c>
      <c r="D159" s="15">
        <f t="shared" ref="D159:E159" si="120">250+273.15</f>
        <v>523.15</v>
      </c>
      <c r="E159" s="15">
        <f t="shared" si="120"/>
        <v>523.15</v>
      </c>
      <c r="F159" t="s">
        <v>24</v>
      </c>
      <c r="G159" s="1">
        <v>7.3999999999999996E-2</v>
      </c>
      <c r="H159" t="s">
        <v>55</v>
      </c>
      <c r="I159" s="1">
        <v>0</v>
      </c>
      <c r="J159" t="s">
        <v>85</v>
      </c>
      <c r="K159" s="1">
        <v>0.4</v>
      </c>
      <c r="L159" t="s">
        <v>27</v>
      </c>
      <c r="M159" s="1">
        <v>0</v>
      </c>
      <c r="N159" t="s">
        <v>114</v>
      </c>
      <c r="O159" s="1">
        <v>1.1200000000000001</v>
      </c>
      <c r="P159" t="s">
        <v>105</v>
      </c>
      <c r="Q159" s="1">
        <v>6.08</v>
      </c>
      <c r="R159" t="s">
        <v>60</v>
      </c>
      <c r="S159" s="1">
        <v>1.05</v>
      </c>
      <c r="T159" t="s">
        <v>106</v>
      </c>
      <c r="U159" s="1">
        <v>5.92</v>
      </c>
      <c r="V159">
        <v>0</v>
      </c>
      <c r="W159" s="1">
        <v>0</v>
      </c>
      <c r="X159" s="4">
        <f t="shared" si="106"/>
        <v>5.92</v>
      </c>
      <c r="Y159" s="1">
        <v>3.09</v>
      </c>
      <c r="Z159" s="1" t="s">
        <v>107</v>
      </c>
      <c r="AA159" s="1">
        <v>45</v>
      </c>
      <c r="AB159" s="1">
        <v>15</v>
      </c>
      <c r="AC159" t="s">
        <v>108</v>
      </c>
      <c r="AD159" s="27" t="s">
        <v>266</v>
      </c>
      <c r="AE159" s="26">
        <v>99</v>
      </c>
    </row>
    <row r="160" spans="1:31" ht="13.5" customHeight="1">
      <c r="A160" t="s">
        <v>261</v>
      </c>
      <c r="B160" s="1">
        <v>0.88149460222241904</v>
      </c>
      <c r="C160" s="1">
        <v>3.8999555640097801</v>
      </c>
      <c r="D160" s="15">
        <f t="shared" ref="D160:E160" si="121">150+273.15</f>
        <v>423.15</v>
      </c>
      <c r="E160" s="15">
        <f t="shared" si="121"/>
        <v>423.15</v>
      </c>
      <c r="F160" t="s">
        <v>24</v>
      </c>
      <c r="G160" s="1">
        <v>2.5000000000000001E-2</v>
      </c>
      <c r="H160" t="s">
        <v>55</v>
      </c>
      <c r="I160" s="1">
        <v>0</v>
      </c>
      <c r="J160" t="s">
        <v>64</v>
      </c>
      <c r="K160" s="1">
        <v>0.13300000000000001</v>
      </c>
      <c r="L160" t="s">
        <v>27</v>
      </c>
      <c r="M160" s="1">
        <v>0</v>
      </c>
      <c r="N160">
        <v>0</v>
      </c>
      <c r="O160" s="1">
        <v>0</v>
      </c>
      <c r="P160" t="s">
        <v>105</v>
      </c>
      <c r="Q160" s="1">
        <v>1.52</v>
      </c>
      <c r="R160" t="s">
        <v>60</v>
      </c>
      <c r="S160" s="1">
        <v>1.71</v>
      </c>
      <c r="T160" t="s">
        <v>106</v>
      </c>
      <c r="U160" s="1">
        <v>5.36</v>
      </c>
      <c r="V160">
        <v>0</v>
      </c>
      <c r="W160" s="1">
        <v>0</v>
      </c>
      <c r="X160" s="4">
        <f t="shared" si="106"/>
        <v>5.36</v>
      </c>
      <c r="Y160" s="1">
        <v>2.8</v>
      </c>
      <c r="Z160" s="1" t="s">
        <v>153</v>
      </c>
      <c r="AA160" s="1">
        <f>5/60</f>
        <v>8.3333333333333329E-2</v>
      </c>
      <c r="AB160" s="1">
        <v>18</v>
      </c>
      <c r="AC160" t="s">
        <v>108</v>
      </c>
      <c r="AD160" s="27" t="s">
        <v>267</v>
      </c>
      <c r="AE160" s="26">
        <v>100</v>
      </c>
    </row>
    <row r="161" spans="1:31" ht="13.5" customHeight="1">
      <c r="A161" s="23" t="s">
        <v>263</v>
      </c>
      <c r="B161" s="24">
        <v>0.87308361406956303</v>
      </c>
      <c r="C161" s="24">
        <v>4.0303903466184803</v>
      </c>
      <c r="D161" s="15">
        <f t="shared" ref="D161:E161" si="122">170+273.15</f>
        <v>443.15</v>
      </c>
      <c r="E161" s="15">
        <f t="shared" si="122"/>
        <v>443.15</v>
      </c>
      <c r="F161" t="s">
        <v>24</v>
      </c>
      <c r="G161" s="1">
        <v>0.39900000000000002</v>
      </c>
      <c r="H161" t="s">
        <v>55</v>
      </c>
      <c r="I161" s="1">
        <v>0</v>
      </c>
      <c r="J161" t="s">
        <v>47</v>
      </c>
      <c r="K161" s="1">
        <v>2.5</v>
      </c>
      <c r="L161" t="s">
        <v>27</v>
      </c>
      <c r="M161" s="1">
        <v>0</v>
      </c>
      <c r="N161" t="s">
        <v>114</v>
      </c>
      <c r="O161" s="1">
        <v>5.61</v>
      </c>
      <c r="P161" t="s">
        <v>105</v>
      </c>
      <c r="Q161" s="1">
        <v>1.22</v>
      </c>
      <c r="R161" t="s">
        <v>60</v>
      </c>
      <c r="S161" s="1">
        <v>1.27</v>
      </c>
      <c r="T161" t="s">
        <v>106</v>
      </c>
      <c r="U161" s="1">
        <v>12</v>
      </c>
      <c r="V161">
        <v>0</v>
      </c>
      <c r="W161" s="1">
        <v>0</v>
      </c>
      <c r="X161" s="4">
        <f t="shared" si="106"/>
        <v>12</v>
      </c>
      <c r="Y161" s="1">
        <v>1.85</v>
      </c>
      <c r="Z161" s="1" t="s">
        <v>153</v>
      </c>
      <c r="AA161" s="1">
        <v>1</v>
      </c>
      <c r="AB161" s="1">
        <v>8.4</v>
      </c>
      <c r="AC161" t="s">
        <v>108</v>
      </c>
      <c r="AD161" s="27" t="s">
        <v>268</v>
      </c>
      <c r="AE161" s="26">
        <v>101</v>
      </c>
    </row>
    <row r="162" spans="1:31" ht="13.5" customHeight="1">
      <c r="A162" s="23" t="s">
        <v>253</v>
      </c>
      <c r="B162" s="24">
        <v>0.86119273648988504</v>
      </c>
      <c r="C162" s="24">
        <v>4.2390859987923903</v>
      </c>
      <c r="D162" s="15">
        <f t="shared" ref="D162:E164" si="123">240+273.15</f>
        <v>513.15</v>
      </c>
      <c r="E162" s="15">
        <f t="shared" si="123"/>
        <v>513.15</v>
      </c>
      <c r="F162" t="s">
        <v>24</v>
      </c>
      <c r="G162" s="1">
        <v>4.4999999999999998E-2</v>
      </c>
      <c r="H162" t="s">
        <v>55</v>
      </c>
      <c r="I162" s="1">
        <v>0</v>
      </c>
      <c r="J162" t="s">
        <v>86</v>
      </c>
      <c r="K162" s="1">
        <v>0.56000000000000005</v>
      </c>
      <c r="L162" t="s">
        <v>87</v>
      </c>
      <c r="M162" s="1">
        <v>1.1200000000000001</v>
      </c>
      <c r="N162">
        <v>0</v>
      </c>
      <c r="O162" s="1">
        <v>0</v>
      </c>
      <c r="P162" t="s">
        <v>105</v>
      </c>
      <c r="Q162" s="1">
        <v>6.08</v>
      </c>
      <c r="R162" t="s">
        <v>60</v>
      </c>
      <c r="S162" s="1">
        <v>6.56</v>
      </c>
      <c r="T162" t="s">
        <v>106</v>
      </c>
      <c r="U162" s="1">
        <v>8.73</v>
      </c>
      <c r="V162">
        <v>0</v>
      </c>
      <c r="W162" s="1">
        <v>0</v>
      </c>
      <c r="X162" s="4">
        <f t="shared" si="106"/>
        <v>8.73</v>
      </c>
      <c r="Y162" s="1">
        <f>1240/1010</f>
        <v>1.2277227722772277</v>
      </c>
      <c r="Z162" s="1" t="s">
        <v>153</v>
      </c>
      <c r="AA162" s="1">
        <f t="shared" ref="AA162:AA164" si="124">10/60</f>
        <v>0.16666666666666666</v>
      </c>
      <c r="AB162" s="1">
        <v>10.42</v>
      </c>
      <c r="AC162" t="s">
        <v>108</v>
      </c>
      <c r="AD162" t="s">
        <v>269</v>
      </c>
      <c r="AE162" s="26">
        <v>102</v>
      </c>
    </row>
    <row r="163" spans="1:31" ht="13.5" customHeight="1">
      <c r="A163" s="23" t="s">
        <v>263</v>
      </c>
      <c r="B163" s="24">
        <v>0.87308361406956303</v>
      </c>
      <c r="C163" s="24">
        <v>4.0303903466184803</v>
      </c>
      <c r="D163" s="15">
        <f t="shared" si="123"/>
        <v>513.15</v>
      </c>
      <c r="E163" s="15">
        <f t="shared" si="123"/>
        <v>513.15</v>
      </c>
      <c r="F163" t="s">
        <v>24</v>
      </c>
      <c r="G163" s="1">
        <v>4.4999999999999998E-2</v>
      </c>
      <c r="H163" t="s">
        <v>55</v>
      </c>
      <c r="I163" s="1">
        <v>0</v>
      </c>
      <c r="J163" t="s">
        <v>86</v>
      </c>
      <c r="K163" s="1">
        <v>0.56000000000000005</v>
      </c>
      <c r="L163" t="s">
        <v>88</v>
      </c>
      <c r="M163" s="1">
        <v>1.1200000000000001</v>
      </c>
      <c r="N163">
        <v>0</v>
      </c>
      <c r="O163" s="1">
        <v>0</v>
      </c>
      <c r="P163" t="s">
        <v>105</v>
      </c>
      <c r="Q163" s="1">
        <v>6.08</v>
      </c>
      <c r="R163" t="s">
        <v>60</v>
      </c>
      <c r="S163" s="1">
        <v>6.56</v>
      </c>
      <c r="T163" t="s">
        <v>106</v>
      </c>
      <c r="U163" s="1">
        <v>8.73</v>
      </c>
      <c r="V163">
        <v>0</v>
      </c>
      <c r="W163" s="1">
        <v>0</v>
      </c>
      <c r="X163" s="4">
        <f t="shared" si="106"/>
        <v>8.73</v>
      </c>
      <c r="Y163" s="1">
        <f>1240/686</f>
        <v>1.8075801749271136</v>
      </c>
      <c r="Z163" s="1" t="s">
        <v>153</v>
      </c>
      <c r="AA163" s="1">
        <f t="shared" si="124"/>
        <v>0.16666666666666666</v>
      </c>
      <c r="AB163" s="1">
        <v>11.04</v>
      </c>
      <c r="AC163" t="s">
        <v>108</v>
      </c>
      <c r="AD163" t="s">
        <v>269</v>
      </c>
      <c r="AE163" s="26">
        <v>102</v>
      </c>
    </row>
    <row r="164" spans="1:31" ht="13.5" customHeight="1">
      <c r="A164" s="23" t="s">
        <v>261</v>
      </c>
      <c r="B164" s="24">
        <v>0.88149460222241904</v>
      </c>
      <c r="C164" s="24">
        <v>3.8999555640097801</v>
      </c>
      <c r="D164" s="15">
        <f t="shared" si="123"/>
        <v>513.15</v>
      </c>
      <c r="E164" s="15">
        <f t="shared" si="123"/>
        <v>513.15</v>
      </c>
      <c r="F164" t="s">
        <v>24</v>
      </c>
      <c r="G164" s="1">
        <v>4.4999999999999998E-2</v>
      </c>
      <c r="H164" t="s">
        <v>55</v>
      </c>
      <c r="I164" s="1">
        <v>0</v>
      </c>
      <c r="J164" t="s">
        <v>86</v>
      </c>
      <c r="K164" s="1">
        <v>0.56000000000000005</v>
      </c>
      <c r="L164" t="s">
        <v>89</v>
      </c>
      <c r="M164" s="1">
        <v>1.1200000000000001</v>
      </c>
      <c r="N164">
        <v>0</v>
      </c>
      <c r="O164" s="1">
        <v>0</v>
      </c>
      <c r="P164" t="s">
        <v>105</v>
      </c>
      <c r="Q164" s="1">
        <v>6.08</v>
      </c>
      <c r="R164" t="s">
        <v>60</v>
      </c>
      <c r="S164" s="1">
        <v>6.56</v>
      </c>
      <c r="T164" t="s">
        <v>106</v>
      </c>
      <c r="U164" s="1">
        <v>8.73</v>
      </c>
      <c r="V164">
        <v>0</v>
      </c>
      <c r="W164" s="1">
        <v>0</v>
      </c>
      <c r="X164" s="4">
        <f t="shared" si="106"/>
        <v>8.73</v>
      </c>
      <c r="Y164" s="1">
        <f>1240/480</f>
        <v>2.5833333333333335</v>
      </c>
      <c r="Z164" s="1" t="s">
        <v>153</v>
      </c>
      <c r="AA164" s="1">
        <f t="shared" si="124"/>
        <v>0.16666666666666666</v>
      </c>
      <c r="AB164" s="1">
        <v>11.64</v>
      </c>
      <c r="AC164" t="s">
        <v>108</v>
      </c>
      <c r="AD164" t="s">
        <v>269</v>
      </c>
      <c r="AE164" s="26">
        <v>102</v>
      </c>
    </row>
    <row r="165" spans="1:31" ht="13.5" customHeight="1">
      <c r="A165" s="23"/>
      <c r="B165" s="24"/>
      <c r="C165" s="24"/>
      <c r="D165" s="15"/>
      <c r="E165" s="15"/>
      <c r="G165" s="1"/>
      <c r="I165" s="1"/>
      <c r="K165" s="1"/>
      <c r="M165" s="1"/>
      <c r="O165" s="1"/>
      <c r="Q165" s="1"/>
      <c r="S165" s="1"/>
      <c r="U165" s="1"/>
      <c r="W165" s="1"/>
      <c r="X165" s="4"/>
      <c r="Y165" s="1"/>
      <c r="Z165" s="1"/>
      <c r="AA165" s="1"/>
      <c r="AB165" s="1"/>
    </row>
    <row r="166" spans="1:31" ht="13.5" customHeight="1">
      <c r="A166" s="23"/>
      <c r="B166" s="24"/>
      <c r="C166" s="24"/>
      <c r="D166" s="15"/>
      <c r="E166" s="15"/>
      <c r="G166" s="1"/>
      <c r="I166" s="1"/>
      <c r="K166" s="1"/>
      <c r="M166" s="1"/>
      <c r="O166" s="1"/>
      <c r="Q166" s="1"/>
      <c r="S166" s="1"/>
      <c r="U166" s="1"/>
      <c r="W166" s="1"/>
      <c r="X166" s="4"/>
      <c r="Y166" s="1"/>
      <c r="Z166" s="1"/>
      <c r="AA166" s="1"/>
      <c r="AB166" s="1"/>
    </row>
    <row r="167" spans="1:31" ht="13.5" customHeight="1"/>
    <row r="168" spans="1:31" ht="13.5" customHeight="1"/>
    <row r="169" spans="1:31" ht="13.5" customHeight="1"/>
    <row r="170" spans="1:31" ht="13.5" customHeight="1"/>
    <row r="171" spans="1:31" ht="13.5" customHeight="1"/>
    <row r="172" spans="1:31" ht="13.5" customHeight="1"/>
    <row r="173" spans="1:31" ht="13.5" customHeight="1"/>
    <row r="174" spans="1:31" ht="13.5" customHeight="1"/>
    <row r="175" spans="1:31" ht="13.5" customHeight="1"/>
    <row r="176" spans="1:31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941E-41FD-4292-98F7-40B822873D63}">
  <dimension ref="A1:S1006"/>
  <sheetViews>
    <sheetView workbookViewId="0">
      <selection activeCell="C60" sqref="C60"/>
    </sheetView>
  </sheetViews>
  <sheetFormatPr defaultColWidth="14" defaultRowHeight="14.4"/>
  <cols>
    <col min="1" max="1" width="23.33203125" customWidth="1"/>
    <col min="2" max="2" width="16.33203125" customWidth="1"/>
    <col min="3" max="3" width="21.77734375" customWidth="1"/>
    <col min="4" max="4" width="16.88671875" customWidth="1"/>
    <col min="5" max="5" width="23.44140625" customWidth="1"/>
    <col min="6" max="6" width="18.33203125" customWidth="1"/>
    <col min="7" max="7" width="46.21875" customWidth="1"/>
    <col min="8" max="8" width="18.33203125" customWidth="1"/>
    <col min="9" max="9" width="28.33203125" customWidth="1"/>
    <col min="10" max="10" width="9.6640625" customWidth="1"/>
    <col min="11" max="11" width="21.6640625" customWidth="1"/>
    <col min="12" max="12" width="31.21875" customWidth="1"/>
    <col min="13" max="13" width="16.5546875" customWidth="1"/>
    <col min="14" max="14" width="25.77734375" customWidth="1"/>
    <col min="15" max="15" width="17.109375" customWidth="1"/>
    <col min="16" max="16" width="14.109375" customWidth="1"/>
    <col min="17" max="17" width="9.6640625" customWidth="1"/>
    <col min="18" max="18" width="10.21875" customWidth="1"/>
    <col min="19" max="19" width="13.77734375" customWidth="1"/>
  </cols>
  <sheetData>
    <row r="1" spans="1:19" ht="1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5" customHeight="1">
      <c r="A2" s="1">
        <v>4.09916438142701</v>
      </c>
      <c r="B2" s="2">
        <f>165+273.15</f>
        <v>438.15</v>
      </c>
      <c r="C2" s="3" t="s">
        <v>19</v>
      </c>
      <c r="D2" s="1">
        <v>0.65</v>
      </c>
      <c r="E2" s="3" t="s">
        <v>20</v>
      </c>
      <c r="F2" s="1">
        <v>0.22</v>
      </c>
      <c r="G2" s="3" t="s">
        <v>21</v>
      </c>
      <c r="H2" s="1">
        <v>0.5</v>
      </c>
      <c r="I2" s="3" t="s">
        <v>22</v>
      </c>
      <c r="J2" s="1">
        <v>3.15</v>
      </c>
      <c r="K2" s="1">
        <v>1.98</v>
      </c>
      <c r="L2" s="1">
        <v>9.19</v>
      </c>
      <c r="M2" s="1">
        <v>10</v>
      </c>
      <c r="N2" s="3">
        <v>0</v>
      </c>
      <c r="O2" s="1">
        <v>0</v>
      </c>
      <c r="P2" s="4">
        <f t="shared" ref="P2:P65" si="0">M2+O2</f>
        <v>10</v>
      </c>
      <c r="Q2" s="1">
        <v>1.66</v>
      </c>
      <c r="R2" s="1">
        <f t="shared" ref="R2:R3" si="1">1/60</f>
        <v>1.6666666666666666E-2</v>
      </c>
      <c r="S2" s="1">
        <v>22.8</v>
      </c>
    </row>
    <row r="3" spans="1:19" ht="13.5" customHeight="1">
      <c r="A3" s="1">
        <v>3.80174109782548</v>
      </c>
      <c r="B3" s="2">
        <f>170+273.15</f>
        <v>443.15</v>
      </c>
      <c r="C3" s="3" t="s">
        <v>19</v>
      </c>
      <c r="D3" s="1">
        <v>0.65</v>
      </c>
      <c r="E3" s="3" t="s">
        <v>23</v>
      </c>
      <c r="F3" s="1">
        <v>0.45</v>
      </c>
      <c r="G3" s="3" t="s">
        <v>21</v>
      </c>
      <c r="H3" s="1">
        <v>0.5</v>
      </c>
      <c r="I3" s="3" t="s">
        <v>22</v>
      </c>
      <c r="J3" s="1">
        <v>3.15</v>
      </c>
      <c r="K3" s="1">
        <v>2</v>
      </c>
      <c r="L3" s="1">
        <v>7.92</v>
      </c>
      <c r="M3" s="1">
        <v>10</v>
      </c>
      <c r="N3" s="3">
        <v>0</v>
      </c>
      <c r="O3" s="1">
        <v>0</v>
      </c>
      <c r="P3" s="4">
        <f t="shared" si="0"/>
        <v>10</v>
      </c>
      <c r="Q3" s="1">
        <v>3.1</v>
      </c>
      <c r="R3" s="1">
        <f t="shared" si="1"/>
        <v>1.6666666666666666E-2</v>
      </c>
      <c r="S3" s="1">
        <v>12.2</v>
      </c>
    </row>
    <row r="4" spans="1:19" ht="13.5" customHeight="1">
      <c r="A4" s="1">
        <v>3.7931079634195402</v>
      </c>
      <c r="B4" s="2">
        <f>220+273.15</f>
        <v>493.15</v>
      </c>
      <c r="C4" t="s">
        <v>24</v>
      </c>
      <c r="D4" s="1">
        <v>0.16</v>
      </c>
      <c r="E4" t="s">
        <v>25</v>
      </c>
      <c r="F4" s="1">
        <v>0.36</v>
      </c>
      <c r="G4" t="s">
        <v>26</v>
      </c>
      <c r="H4" s="1">
        <v>0.36</v>
      </c>
      <c r="I4" t="s">
        <v>27</v>
      </c>
      <c r="J4" s="1">
        <v>0</v>
      </c>
      <c r="K4" s="1">
        <v>3.04</v>
      </c>
      <c r="L4" s="1">
        <v>3.68</v>
      </c>
      <c r="M4" s="1">
        <v>14.64</v>
      </c>
      <c r="N4" s="5" t="s">
        <v>28</v>
      </c>
      <c r="O4" s="1">
        <v>0.42</v>
      </c>
      <c r="P4" s="4">
        <f t="shared" si="0"/>
        <v>15.06</v>
      </c>
      <c r="Q4" s="1">
        <v>3.6</v>
      </c>
      <c r="R4" s="1">
        <v>5</v>
      </c>
      <c r="S4" s="1">
        <v>22.8</v>
      </c>
    </row>
    <row r="5" spans="1:19" ht="13.5" customHeight="1">
      <c r="A5" s="1">
        <v>3.9623356974945101</v>
      </c>
      <c r="B5" s="2">
        <f>273.15+140</f>
        <v>413.15</v>
      </c>
      <c r="C5" t="s">
        <v>24</v>
      </c>
      <c r="D5" s="1">
        <v>0.15</v>
      </c>
      <c r="E5" t="s">
        <v>25</v>
      </c>
      <c r="F5" s="1">
        <v>0.3</v>
      </c>
      <c r="G5" t="s">
        <v>29</v>
      </c>
      <c r="H5" s="1">
        <v>0.3</v>
      </c>
      <c r="I5" t="s">
        <v>30</v>
      </c>
      <c r="J5" s="1">
        <v>2.54</v>
      </c>
      <c r="K5" s="1">
        <v>0.73</v>
      </c>
      <c r="L5" s="1">
        <v>1.58</v>
      </c>
      <c r="M5" s="1">
        <v>10</v>
      </c>
      <c r="N5">
        <v>0</v>
      </c>
      <c r="O5" s="1">
        <v>0</v>
      </c>
      <c r="P5" s="4">
        <f t="shared" si="0"/>
        <v>10</v>
      </c>
      <c r="Q5" s="1">
        <v>2.2799999999999998</v>
      </c>
      <c r="R5" s="1">
        <f>5/60</f>
        <v>8.3333333333333329E-2</v>
      </c>
      <c r="S5" s="1">
        <v>7.6</v>
      </c>
    </row>
    <row r="6" spans="1:19" ht="13.5" customHeight="1">
      <c r="A6" s="1">
        <v>3.8362877498517798</v>
      </c>
      <c r="B6" s="2">
        <f>165+273.15</f>
        <v>438.15</v>
      </c>
      <c r="C6" s="3" t="s">
        <v>19</v>
      </c>
      <c r="D6" s="1">
        <v>0.65</v>
      </c>
      <c r="E6" s="3" t="s">
        <v>31</v>
      </c>
      <c r="F6" s="1">
        <v>0.45</v>
      </c>
      <c r="G6" s="3" t="s">
        <v>32</v>
      </c>
      <c r="H6" s="1">
        <v>0.5</v>
      </c>
      <c r="I6" s="3" t="s">
        <v>22</v>
      </c>
      <c r="J6" s="1">
        <v>3.15</v>
      </c>
      <c r="K6" s="1">
        <v>2.13</v>
      </c>
      <c r="L6" s="1">
        <v>8.8699999999999992</v>
      </c>
      <c r="M6" s="1">
        <v>10</v>
      </c>
      <c r="N6" s="3">
        <v>0</v>
      </c>
      <c r="O6" s="1">
        <v>0</v>
      </c>
      <c r="P6" s="4">
        <f t="shared" si="0"/>
        <v>10</v>
      </c>
      <c r="Q6" s="1">
        <v>4.55</v>
      </c>
      <c r="R6" s="1">
        <f t="shared" ref="R6:R8" si="2">1/60</f>
        <v>1.6666666666666666E-2</v>
      </c>
      <c r="S6" s="1">
        <v>12.5</v>
      </c>
    </row>
    <row r="7" spans="1:19" ht="13.5" customHeight="1">
      <c r="A7" s="1">
        <v>3.7931079634195402</v>
      </c>
      <c r="B7" s="2">
        <f t="shared" ref="B7:B8" si="3">100+273.15</f>
        <v>373.15</v>
      </c>
      <c r="C7" s="3" t="s">
        <v>19</v>
      </c>
      <c r="D7" s="1">
        <v>2.5000000000000001E-2</v>
      </c>
      <c r="E7" s="3" t="s">
        <v>23</v>
      </c>
      <c r="F7" s="1">
        <v>0.05</v>
      </c>
      <c r="G7" s="3" t="s">
        <v>32</v>
      </c>
      <c r="H7" s="1">
        <v>0.05</v>
      </c>
      <c r="I7" s="3" t="s">
        <v>33</v>
      </c>
      <c r="J7" s="1">
        <v>0.3</v>
      </c>
      <c r="K7" s="1">
        <v>0.2</v>
      </c>
      <c r="L7" s="1">
        <v>0.8</v>
      </c>
      <c r="M7" s="1">
        <v>1</v>
      </c>
      <c r="N7" s="3">
        <v>0</v>
      </c>
      <c r="O7" s="1">
        <v>0</v>
      </c>
      <c r="P7" s="4">
        <f t="shared" si="0"/>
        <v>1</v>
      </c>
      <c r="Q7" s="1">
        <v>4.1500000000000004</v>
      </c>
      <c r="R7" s="1">
        <f t="shared" si="2"/>
        <v>1.6666666666666666E-2</v>
      </c>
      <c r="S7" s="1">
        <v>8.9</v>
      </c>
    </row>
    <row r="8" spans="1:19" ht="13.5" customHeight="1">
      <c r="A8" s="1">
        <v>3.80174109782548</v>
      </c>
      <c r="B8" s="2">
        <f t="shared" si="3"/>
        <v>373.15</v>
      </c>
      <c r="C8" s="3" t="s">
        <v>19</v>
      </c>
      <c r="D8" s="1">
        <v>2.5000000000000001E-2</v>
      </c>
      <c r="E8" s="3" t="s">
        <v>23</v>
      </c>
      <c r="F8" s="1">
        <v>0.02</v>
      </c>
      <c r="G8" s="3" t="s">
        <v>21</v>
      </c>
      <c r="H8" s="1">
        <v>0.05</v>
      </c>
      <c r="I8" s="3" t="s">
        <v>34</v>
      </c>
      <c r="J8" s="1">
        <v>0.6</v>
      </c>
      <c r="K8" s="1">
        <v>0.2</v>
      </c>
      <c r="L8" s="1">
        <v>1.3</v>
      </c>
      <c r="M8" s="1">
        <v>1</v>
      </c>
      <c r="N8" s="3">
        <v>0</v>
      </c>
      <c r="O8" s="1">
        <v>0</v>
      </c>
      <c r="P8" s="4">
        <f t="shared" si="0"/>
        <v>1</v>
      </c>
      <c r="Q8" s="1">
        <v>2.83</v>
      </c>
      <c r="R8" s="1">
        <f t="shared" si="2"/>
        <v>1.6666666666666666E-2</v>
      </c>
      <c r="S8" s="1">
        <v>8.3000000000000007</v>
      </c>
    </row>
    <row r="9" spans="1:19" ht="13.5" customHeight="1">
      <c r="A9" s="1">
        <v>3.7931079634195402</v>
      </c>
      <c r="B9" s="2">
        <f>200+273.15</f>
        <v>473.15</v>
      </c>
      <c r="C9" t="s">
        <v>24</v>
      </c>
      <c r="D9" s="1">
        <v>0.1</v>
      </c>
      <c r="E9" s="3" t="s">
        <v>23</v>
      </c>
      <c r="F9" s="1">
        <v>0.05</v>
      </c>
      <c r="G9" s="3" t="s">
        <v>32</v>
      </c>
      <c r="H9" s="1">
        <v>0.2</v>
      </c>
      <c r="I9" t="s">
        <v>22</v>
      </c>
      <c r="J9" s="1">
        <v>3.55</v>
      </c>
      <c r="K9" s="1">
        <v>0.7</v>
      </c>
      <c r="L9" s="1">
        <v>15.84</v>
      </c>
      <c r="M9" s="1">
        <v>6.13</v>
      </c>
      <c r="N9">
        <v>0</v>
      </c>
      <c r="O9" s="1">
        <v>0</v>
      </c>
      <c r="P9" s="4">
        <f t="shared" si="0"/>
        <v>6.13</v>
      </c>
      <c r="Q9" s="1">
        <v>3.33</v>
      </c>
      <c r="R9" s="1">
        <v>2</v>
      </c>
      <c r="S9" s="1">
        <v>10.6</v>
      </c>
    </row>
    <row r="10" spans="1:19" ht="13.5" customHeight="1">
      <c r="A10" s="1">
        <v>3.7931079634195402</v>
      </c>
      <c r="B10" s="2">
        <f>180+273.15</f>
        <v>453.15</v>
      </c>
      <c r="C10" t="s">
        <v>24</v>
      </c>
      <c r="D10" s="1">
        <v>0.5</v>
      </c>
      <c r="E10" s="3" t="s">
        <v>23</v>
      </c>
      <c r="F10" s="1">
        <v>0.5</v>
      </c>
      <c r="G10" s="3" t="s">
        <v>32</v>
      </c>
      <c r="H10" s="1">
        <v>0.55000000000000004</v>
      </c>
      <c r="I10" t="s">
        <v>22</v>
      </c>
      <c r="J10" s="1">
        <v>4.7</v>
      </c>
      <c r="K10" s="1">
        <v>1.52</v>
      </c>
      <c r="L10" s="1">
        <v>3.17</v>
      </c>
      <c r="M10" s="1">
        <v>10</v>
      </c>
      <c r="N10">
        <v>0</v>
      </c>
      <c r="O10" s="1">
        <v>0</v>
      </c>
      <c r="P10" s="4">
        <f t="shared" si="0"/>
        <v>10</v>
      </c>
      <c r="Q10" s="1">
        <v>4.8</v>
      </c>
      <c r="R10" s="1">
        <f t="shared" ref="R10:R11" si="4">30/60</f>
        <v>0.5</v>
      </c>
      <c r="S10" s="1">
        <v>12.4</v>
      </c>
    </row>
    <row r="11" spans="1:19" ht="13.5" customHeight="1">
      <c r="A11" s="1">
        <v>3.9623356974945101</v>
      </c>
      <c r="B11" s="2">
        <f>145+273.15</f>
        <v>418.15</v>
      </c>
      <c r="C11" s="3" t="s">
        <v>19</v>
      </c>
      <c r="D11" s="1">
        <v>0.7</v>
      </c>
      <c r="E11" s="3" t="s">
        <v>23</v>
      </c>
      <c r="F11" s="1">
        <v>0.5</v>
      </c>
      <c r="G11" t="s">
        <v>35</v>
      </c>
      <c r="H11" s="1">
        <v>0.5</v>
      </c>
      <c r="I11" t="s">
        <v>36</v>
      </c>
      <c r="J11" s="1">
        <v>1.5</v>
      </c>
      <c r="K11" s="1">
        <v>1.1200000000000001</v>
      </c>
      <c r="L11" s="1">
        <v>4.75</v>
      </c>
      <c r="M11" s="1">
        <v>6</v>
      </c>
      <c r="N11">
        <v>0</v>
      </c>
      <c r="O11" s="1">
        <v>0</v>
      </c>
      <c r="P11" s="4">
        <f t="shared" si="0"/>
        <v>6</v>
      </c>
      <c r="Q11" s="1">
        <v>1.91</v>
      </c>
      <c r="R11" s="1">
        <f t="shared" si="4"/>
        <v>0.5</v>
      </c>
      <c r="S11" s="1">
        <v>8.9</v>
      </c>
    </row>
    <row r="12" spans="1:19" ht="13.5" customHeight="1">
      <c r="A12" s="6">
        <v>3.9623356974945101</v>
      </c>
      <c r="B12" s="2">
        <f>25+273.15</f>
        <v>298.14999999999998</v>
      </c>
      <c r="C12" t="s">
        <v>24</v>
      </c>
      <c r="D12" s="1">
        <v>0.09</v>
      </c>
      <c r="E12" t="s">
        <v>25</v>
      </c>
      <c r="F12" s="6">
        <v>0.2</v>
      </c>
      <c r="G12" s="7" t="s">
        <v>37</v>
      </c>
      <c r="H12" s="6">
        <v>0.2</v>
      </c>
      <c r="I12" t="s">
        <v>27</v>
      </c>
      <c r="J12" s="1">
        <v>0</v>
      </c>
      <c r="K12" s="1">
        <v>6.08</v>
      </c>
      <c r="L12" s="1">
        <v>6.34</v>
      </c>
      <c r="M12" s="1">
        <v>8</v>
      </c>
      <c r="N12" s="5" t="s">
        <v>38</v>
      </c>
      <c r="O12" s="1">
        <v>0.2</v>
      </c>
      <c r="P12" s="4">
        <f t="shared" si="0"/>
        <v>8.1999999999999993</v>
      </c>
      <c r="Q12" s="1">
        <v>2.52</v>
      </c>
      <c r="R12" s="1">
        <f>5/60</f>
        <v>8.3333333333333329E-2</v>
      </c>
      <c r="S12" s="1">
        <v>16.3</v>
      </c>
    </row>
    <row r="13" spans="1:19" ht="13.5" customHeight="1">
      <c r="A13" s="6">
        <v>3.78960793424887</v>
      </c>
      <c r="B13" s="2">
        <f>230+273.15</f>
        <v>503.15</v>
      </c>
      <c r="C13" s="3" t="s">
        <v>19</v>
      </c>
      <c r="D13" s="1">
        <v>0.36</v>
      </c>
      <c r="E13" s="7" t="s">
        <v>31</v>
      </c>
      <c r="F13" s="1">
        <v>0.18</v>
      </c>
      <c r="G13" t="s">
        <v>35</v>
      </c>
      <c r="H13" s="1">
        <v>0.18</v>
      </c>
      <c r="I13" t="s">
        <v>22</v>
      </c>
      <c r="J13" s="1">
        <v>1.97</v>
      </c>
      <c r="K13" s="1">
        <v>1</v>
      </c>
      <c r="L13" s="1">
        <v>3.96</v>
      </c>
      <c r="M13" s="1">
        <v>5</v>
      </c>
      <c r="N13">
        <v>0</v>
      </c>
      <c r="O13" s="1">
        <v>0</v>
      </c>
      <c r="P13" s="4">
        <f t="shared" si="0"/>
        <v>5</v>
      </c>
      <c r="Q13" s="1">
        <v>3.41</v>
      </c>
      <c r="R13" s="1">
        <f>10/60</f>
        <v>0.16666666666666666</v>
      </c>
      <c r="S13" s="1">
        <v>15.9</v>
      </c>
    </row>
    <row r="14" spans="1:19" ht="13.5" customHeight="1">
      <c r="A14" s="6">
        <v>3.7931079634195402</v>
      </c>
      <c r="B14" s="2">
        <f>180+273.15</f>
        <v>453.15</v>
      </c>
      <c r="C14" t="s">
        <v>24</v>
      </c>
      <c r="D14" s="8">
        <v>0.5</v>
      </c>
      <c r="E14" t="s">
        <v>23</v>
      </c>
      <c r="F14" s="8">
        <v>0.5</v>
      </c>
      <c r="G14" s="3" t="s">
        <v>32</v>
      </c>
      <c r="H14" s="8">
        <v>0.55000000000000004</v>
      </c>
      <c r="I14" t="s">
        <v>22</v>
      </c>
      <c r="J14" s="1">
        <v>4.7</v>
      </c>
      <c r="K14" s="1">
        <v>1.52</v>
      </c>
      <c r="L14" s="1">
        <v>3.17</v>
      </c>
      <c r="M14" s="1">
        <v>10</v>
      </c>
      <c r="N14">
        <v>0</v>
      </c>
      <c r="O14" s="1">
        <v>0</v>
      </c>
      <c r="P14" s="4">
        <f t="shared" si="0"/>
        <v>10</v>
      </c>
      <c r="Q14" s="1">
        <v>4.8</v>
      </c>
      <c r="R14" s="1">
        <f t="shared" ref="R14:R15" si="5">30/60</f>
        <v>0.5</v>
      </c>
      <c r="S14" s="1">
        <v>12.4</v>
      </c>
    </row>
    <row r="15" spans="1:19" ht="13.5" customHeight="1">
      <c r="A15" s="6">
        <v>3.9623356974945101</v>
      </c>
      <c r="B15" s="2">
        <f>160+273.15</f>
        <v>433.15</v>
      </c>
      <c r="C15" s="3" t="s">
        <v>19</v>
      </c>
      <c r="D15" s="1">
        <v>0.71</v>
      </c>
      <c r="E15" t="s">
        <v>23</v>
      </c>
      <c r="F15" s="1">
        <v>0.5</v>
      </c>
      <c r="G15" t="s">
        <v>35</v>
      </c>
      <c r="H15" s="1">
        <v>0.5</v>
      </c>
      <c r="I15" t="s">
        <v>36</v>
      </c>
      <c r="J15" s="1">
        <v>3.79</v>
      </c>
      <c r="K15" s="1">
        <v>2</v>
      </c>
      <c r="L15" s="1">
        <v>7.92</v>
      </c>
      <c r="M15" s="1">
        <v>10</v>
      </c>
      <c r="N15">
        <v>0</v>
      </c>
      <c r="O15" s="1">
        <v>0</v>
      </c>
      <c r="P15" s="4">
        <f t="shared" si="0"/>
        <v>10</v>
      </c>
      <c r="Q15" s="1">
        <v>2.35</v>
      </c>
      <c r="R15" s="1">
        <f t="shared" si="5"/>
        <v>0.5</v>
      </c>
      <c r="S15" s="1">
        <v>10</v>
      </c>
    </row>
    <row r="16" spans="1:19" ht="13.5" customHeight="1">
      <c r="A16" s="6">
        <v>3.7931079634195402</v>
      </c>
      <c r="B16" s="2">
        <f>170+273.15</f>
        <v>443.15</v>
      </c>
      <c r="C16" t="s">
        <v>24</v>
      </c>
      <c r="D16" s="1">
        <v>0.4</v>
      </c>
      <c r="E16" t="s">
        <v>23</v>
      </c>
      <c r="F16" s="1">
        <v>0.35</v>
      </c>
      <c r="G16" s="3" t="s">
        <v>32</v>
      </c>
      <c r="H16" s="1">
        <v>0.7</v>
      </c>
      <c r="I16" t="s">
        <v>22</v>
      </c>
      <c r="J16" s="1">
        <v>14.34</v>
      </c>
      <c r="K16" s="1">
        <v>3.04</v>
      </c>
      <c r="L16" s="1">
        <v>6.34</v>
      </c>
      <c r="M16" s="1">
        <v>20</v>
      </c>
      <c r="N16" s="5" t="s">
        <v>28</v>
      </c>
      <c r="O16" s="1">
        <v>0.2</v>
      </c>
      <c r="P16" s="4">
        <f t="shared" si="0"/>
        <v>20.2</v>
      </c>
      <c r="Q16" s="1">
        <v>4.5999999999999996</v>
      </c>
      <c r="R16" s="1">
        <v>2</v>
      </c>
      <c r="S16" s="1">
        <v>11.6</v>
      </c>
    </row>
    <row r="17" spans="1:19" s="11" customFormat="1" ht="13.5" customHeight="1">
      <c r="A17" s="9">
        <v>3.9623356974945101</v>
      </c>
      <c r="B17" s="10">
        <f>25+273.15</f>
        <v>298.14999999999998</v>
      </c>
      <c r="C17" s="11" t="s">
        <v>24</v>
      </c>
      <c r="D17" s="9">
        <v>0.08</v>
      </c>
      <c r="E17" s="11" t="s">
        <v>25</v>
      </c>
      <c r="F17" s="9">
        <v>0.2</v>
      </c>
      <c r="G17" s="11" t="s">
        <v>37</v>
      </c>
      <c r="H17" s="9">
        <v>0.1</v>
      </c>
      <c r="I17" s="11" t="s">
        <v>27</v>
      </c>
      <c r="J17" s="9">
        <v>0</v>
      </c>
      <c r="K17" s="9">
        <v>3.95</v>
      </c>
      <c r="L17" s="9">
        <v>3.17</v>
      </c>
      <c r="M17" s="9">
        <v>4</v>
      </c>
      <c r="N17" s="11" t="s">
        <v>38</v>
      </c>
      <c r="O17" s="9">
        <v>7.0000000000000007E-2</v>
      </c>
      <c r="P17" s="12">
        <f t="shared" si="0"/>
        <v>4.07</v>
      </c>
      <c r="Q17" s="9">
        <v>2.06</v>
      </c>
      <c r="R17" s="9">
        <v>10</v>
      </c>
      <c r="S17" s="9">
        <v>180</v>
      </c>
    </row>
    <row r="18" spans="1:19" ht="13.5" customHeight="1">
      <c r="A18" s="6">
        <v>4.15573282594519</v>
      </c>
      <c r="B18" s="2">
        <f>150+273.15</f>
        <v>423.15</v>
      </c>
      <c r="C18" t="s">
        <v>24</v>
      </c>
      <c r="D18" s="1">
        <v>7.0000000000000007E-2</v>
      </c>
      <c r="E18" s="7" t="s">
        <v>39</v>
      </c>
      <c r="F18" s="1">
        <v>0.25</v>
      </c>
      <c r="G18" t="s">
        <v>21</v>
      </c>
      <c r="H18" s="1">
        <v>0.25</v>
      </c>
      <c r="I18" t="s">
        <v>33</v>
      </c>
      <c r="J18" s="1">
        <v>2.84</v>
      </c>
      <c r="K18" s="1">
        <v>3.04</v>
      </c>
      <c r="L18" s="1">
        <v>3.17</v>
      </c>
      <c r="M18" s="1">
        <v>1.66</v>
      </c>
      <c r="N18">
        <v>0</v>
      </c>
      <c r="O18" s="1">
        <v>0</v>
      </c>
      <c r="P18" s="4">
        <f t="shared" si="0"/>
        <v>1.66</v>
      </c>
      <c r="Q18" s="1">
        <v>1</v>
      </c>
      <c r="R18" s="1">
        <f>10/60</f>
        <v>0.16666666666666666</v>
      </c>
      <c r="S18" s="1">
        <v>3.9</v>
      </c>
    </row>
    <row r="19" spans="1:19" ht="13.5" customHeight="1">
      <c r="A19" s="1">
        <v>3.8183357339347599</v>
      </c>
      <c r="B19" s="2">
        <f t="shared" ref="B19:B20" si="6">170+273.15</f>
        <v>443.15</v>
      </c>
      <c r="C19" t="s">
        <v>24</v>
      </c>
      <c r="D19" s="1">
        <v>0.12</v>
      </c>
      <c r="E19" t="s">
        <v>40</v>
      </c>
      <c r="F19" s="1">
        <v>0.26</v>
      </c>
      <c r="G19" t="s">
        <v>35</v>
      </c>
      <c r="H19" s="1">
        <v>0.26</v>
      </c>
      <c r="I19" t="s">
        <v>33</v>
      </c>
      <c r="J19" s="1">
        <v>3.4</v>
      </c>
      <c r="K19" s="1">
        <v>0.5</v>
      </c>
      <c r="L19" s="1">
        <v>1.5</v>
      </c>
      <c r="M19" s="1">
        <v>10.4</v>
      </c>
      <c r="N19">
        <v>0</v>
      </c>
      <c r="O19" s="1">
        <v>0</v>
      </c>
      <c r="P19" s="4">
        <f t="shared" si="0"/>
        <v>10.4</v>
      </c>
      <c r="Q19" s="1">
        <v>3.56</v>
      </c>
      <c r="R19" s="1">
        <f t="shared" ref="R19:R20" si="7">30/60</f>
        <v>0.5</v>
      </c>
      <c r="S19" s="1">
        <v>11.6</v>
      </c>
    </row>
    <row r="20" spans="1:19" ht="13.5" customHeight="1">
      <c r="A20" s="1">
        <v>3.78933759529966</v>
      </c>
      <c r="B20" s="2">
        <f t="shared" si="6"/>
        <v>443.15</v>
      </c>
      <c r="C20" t="s">
        <v>24</v>
      </c>
      <c r="D20" s="1">
        <v>0.12</v>
      </c>
      <c r="E20" t="s">
        <v>41</v>
      </c>
      <c r="F20" s="1">
        <v>0.26</v>
      </c>
      <c r="G20" t="s">
        <v>35</v>
      </c>
      <c r="H20" s="1">
        <v>0.26</v>
      </c>
      <c r="I20" t="s">
        <v>33</v>
      </c>
      <c r="J20" s="1">
        <v>3.4</v>
      </c>
      <c r="K20" s="1">
        <v>0.5</v>
      </c>
      <c r="L20" s="1">
        <v>1.5</v>
      </c>
      <c r="M20" s="1">
        <v>10.4</v>
      </c>
      <c r="N20">
        <v>0</v>
      </c>
      <c r="O20" s="1">
        <v>0</v>
      </c>
      <c r="P20" s="4">
        <f t="shared" si="0"/>
        <v>10.4</v>
      </c>
      <c r="Q20" s="1">
        <v>3.49</v>
      </c>
      <c r="R20" s="1">
        <f t="shared" si="7"/>
        <v>0.5</v>
      </c>
      <c r="S20" s="1">
        <v>11.8</v>
      </c>
    </row>
    <row r="21" spans="1:19" ht="13.5" customHeight="1">
      <c r="A21" s="1">
        <v>4.15573282594519</v>
      </c>
      <c r="B21" s="2">
        <f>180+273.15</f>
        <v>453.15</v>
      </c>
      <c r="C21" t="s">
        <v>24</v>
      </c>
      <c r="D21" s="1">
        <v>0.35499999999999998</v>
      </c>
      <c r="E21" t="s">
        <v>20</v>
      </c>
      <c r="F21" s="1">
        <v>0.125</v>
      </c>
      <c r="G21" t="s">
        <v>21</v>
      </c>
      <c r="H21" s="1">
        <v>0.25</v>
      </c>
      <c r="I21" t="s">
        <v>22</v>
      </c>
      <c r="J21" s="1">
        <v>1.98</v>
      </c>
      <c r="K21" s="1">
        <v>1.25</v>
      </c>
      <c r="L21" s="1">
        <v>0.2</v>
      </c>
      <c r="M21" s="1">
        <v>5</v>
      </c>
      <c r="N21">
        <v>0</v>
      </c>
      <c r="O21" s="1">
        <v>0</v>
      </c>
      <c r="P21" s="4">
        <f t="shared" si="0"/>
        <v>5</v>
      </c>
      <c r="Q21" s="1">
        <v>1.79</v>
      </c>
      <c r="R21" s="1">
        <f t="shared" ref="R21:R22" si="8">5/60</f>
        <v>8.3333333333333329E-2</v>
      </c>
      <c r="S21" s="1">
        <v>12.5</v>
      </c>
    </row>
    <row r="22" spans="1:19" ht="13.5" customHeight="1">
      <c r="A22" s="1">
        <v>3.7931079634195402</v>
      </c>
      <c r="B22" s="2">
        <f>105+273.15</f>
        <v>378.15</v>
      </c>
      <c r="C22" t="s">
        <v>24</v>
      </c>
      <c r="D22" s="1">
        <v>0.25019999999999998</v>
      </c>
      <c r="E22" t="s">
        <v>23</v>
      </c>
      <c r="F22" s="1">
        <v>0.24</v>
      </c>
      <c r="G22" t="s">
        <v>32</v>
      </c>
      <c r="H22" s="1">
        <v>0.25</v>
      </c>
      <c r="I22" t="s">
        <v>33</v>
      </c>
      <c r="J22" s="1">
        <v>1.72</v>
      </c>
      <c r="K22" s="1">
        <v>1.52</v>
      </c>
      <c r="L22" s="1">
        <v>3.17</v>
      </c>
      <c r="M22" s="1">
        <v>4.5</v>
      </c>
      <c r="N22">
        <v>0</v>
      </c>
      <c r="O22" s="1">
        <v>0</v>
      </c>
      <c r="P22" s="4">
        <f t="shared" si="0"/>
        <v>4.5</v>
      </c>
      <c r="Q22" s="1">
        <v>4.38</v>
      </c>
      <c r="R22" s="1">
        <f t="shared" si="8"/>
        <v>8.3333333333333329E-2</v>
      </c>
      <c r="S22" s="1">
        <v>9.8000000000000007</v>
      </c>
    </row>
    <row r="23" spans="1:19" ht="13.5" customHeight="1">
      <c r="A23" s="6">
        <v>3.9623356974945101</v>
      </c>
      <c r="B23" s="2">
        <f>160+273.15</f>
        <v>433.15</v>
      </c>
      <c r="C23" t="s">
        <v>19</v>
      </c>
      <c r="D23" s="1">
        <v>0.71</v>
      </c>
      <c r="E23" t="s">
        <v>23</v>
      </c>
      <c r="F23" s="1">
        <v>0.5</v>
      </c>
      <c r="G23" t="s">
        <v>35</v>
      </c>
      <c r="H23" s="1">
        <v>0.5</v>
      </c>
      <c r="I23" t="s">
        <v>36</v>
      </c>
      <c r="J23" s="1">
        <v>3.79</v>
      </c>
      <c r="K23" s="1">
        <v>2</v>
      </c>
      <c r="L23" s="1">
        <v>7.92</v>
      </c>
      <c r="M23" s="1">
        <v>10</v>
      </c>
      <c r="N23">
        <v>0</v>
      </c>
      <c r="O23" s="1">
        <v>0</v>
      </c>
      <c r="P23" s="4">
        <f t="shared" si="0"/>
        <v>10</v>
      </c>
      <c r="Q23" s="1">
        <v>2.35</v>
      </c>
      <c r="R23" s="1">
        <f>30/60</f>
        <v>0.5</v>
      </c>
      <c r="S23" s="1">
        <v>10</v>
      </c>
    </row>
    <row r="24" spans="1:19" ht="13.5" customHeight="1">
      <c r="A24" s="6">
        <v>3.9623356974945101</v>
      </c>
      <c r="B24" s="2">
        <f t="shared" ref="B24:B25" si="9">140+273.15</f>
        <v>413.15</v>
      </c>
      <c r="C24" t="s">
        <v>19</v>
      </c>
      <c r="D24" s="1">
        <v>0.71</v>
      </c>
      <c r="E24" t="s">
        <v>23</v>
      </c>
      <c r="F24" s="1">
        <v>0.5</v>
      </c>
      <c r="G24" t="s">
        <v>35</v>
      </c>
      <c r="H24" s="1">
        <v>0.5</v>
      </c>
      <c r="I24" t="s">
        <v>36</v>
      </c>
      <c r="J24" s="1">
        <v>2.7</v>
      </c>
      <c r="K24" s="1">
        <v>1.87</v>
      </c>
      <c r="L24" s="1">
        <v>8.85</v>
      </c>
      <c r="M24" s="1">
        <v>10</v>
      </c>
      <c r="N24">
        <v>0</v>
      </c>
      <c r="O24" s="1">
        <v>0</v>
      </c>
      <c r="P24" s="4">
        <f t="shared" si="0"/>
        <v>10</v>
      </c>
      <c r="Q24" s="1">
        <v>2.33</v>
      </c>
      <c r="R24" s="1">
        <f t="shared" ref="R24:R25" si="10">10/60</f>
        <v>0.16666666666666666</v>
      </c>
      <c r="S24" s="1">
        <v>8</v>
      </c>
    </row>
    <row r="25" spans="1:19" ht="13.5" customHeight="1">
      <c r="A25" s="6">
        <v>3.8247210185954299</v>
      </c>
      <c r="B25" s="2">
        <f t="shared" si="9"/>
        <v>413.15</v>
      </c>
      <c r="C25" t="s">
        <v>19</v>
      </c>
      <c r="D25" s="1">
        <v>0.71</v>
      </c>
      <c r="E25" t="s">
        <v>23</v>
      </c>
      <c r="F25" s="1">
        <v>0.5</v>
      </c>
      <c r="G25" t="s">
        <v>35</v>
      </c>
      <c r="H25" s="1">
        <v>0.5</v>
      </c>
      <c r="I25" t="s">
        <v>22</v>
      </c>
      <c r="J25" s="1">
        <v>2.7</v>
      </c>
      <c r="K25" s="1">
        <v>1.87</v>
      </c>
      <c r="L25" s="1">
        <v>8.85</v>
      </c>
      <c r="M25" s="1">
        <v>10</v>
      </c>
      <c r="N25">
        <v>0</v>
      </c>
      <c r="O25" s="1">
        <v>0</v>
      </c>
      <c r="P25" s="4">
        <f t="shared" si="0"/>
        <v>10</v>
      </c>
      <c r="Q25" s="1">
        <v>2.89</v>
      </c>
      <c r="R25" s="1">
        <f t="shared" si="10"/>
        <v>0.16666666666666666</v>
      </c>
      <c r="S25" s="1">
        <v>8.1999999999999993</v>
      </c>
    </row>
    <row r="26" spans="1:19" ht="13.5" customHeight="1">
      <c r="A26" s="1">
        <v>3.7931079634195402</v>
      </c>
      <c r="B26" s="2">
        <f t="shared" ref="B26:B30" si="11">170+273.15</f>
        <v>443.15</v>
      </c>
      <c r="C26" t="s">
        <v>24</v>
      </c>
      <c r="D26" s="1">
        <v>0.4</v>
      </c>
      <c r="E26" t="s">
        <v>23</v>
      </c>
      <c r="F26" s="1">
        <v>0.35</v>
      </c>
      <c r="G26" t="s">
        <v>32</v>
      </c>
      <c r="H26" s="1">
        <v>0.7</v>
      </c>
      <c r="I26" t="s">
        <v>22</v>
      </c>
      <c r="J26" s="1">
        <v>14.27</v>
      </c>
      <c r="K26" s="1">
        <v>3.04</v>
      </c>
      <c r="L26" s="1">
        <v>6.34</v>
      </c>
      <c r="M26" s="1">
        <v>20</v>
      </c>
      <c r="N26" s="5" t="s">
        <v>28</v>
      </c>
      <c r="O26" s="1">
        <v>0.2</v>
      </c>
      <c r="P26" s="4">
        <f t="shared" si="0"/>
        <v>20.2</v>
      </c>
      <c r="Q26" s="1">
        <v>4.5999999999999996</v>
      </c>
      <c r="R26" s="1">
        <v>2</v>
      </c>
      <c r="S26" s="1">
        <v>11.6</v>
      </c>
    </row>
    <row r="27" spans="1:19" ht="13.5" customHeight="1">
      <c r="A27" s="1">
        <v>3.9076165146628501</v>
      </c>
      <c r="B27" s="2">
        <f t="shared" si="11"/>
        <v>443.15</v>
      </c>
      <c r="C27" t="s">
        <v>19</v>
      </c>
      <c r="D27" s="1">
        <v>0.17</v>
      </c>
      <c r="E27" t="s">
        <v>42</v>
      </c>
      <c r="F27" s="1">
        <v>0.25</v>
      </c>
      <c r="G27" t="s">
        <v>21</v>
      </c>
      <c r="H27" s="1">
        <v>0.5</v>
      </c>
      <c r="I27" t="s">
        <v>22</v>
      </c>
      <c r="J27" s="1">
        <v>3.14</v>
      </c>
      <c r="K27" s="1">
        <v>2</v>
      </c>
      <c r="L27" s="1">
        <v>8.8699999999999992</v>
      </c>
      <c r="M27" s="1">
        <v>10</v>
      </c>
      <c r="N27">
        <v>0</v>
      </c>
      <c r="O27" s="1">
        <v>0</v>
      </c>
      <c r="P27" s="4">
        <f t="shared" si="0"/>
        <v>10</v>
      </c>
      <c r="Q27" s="1">
        <v>3.15</v>
      </c>
      <c r="R27" s="1">
        <f t="shared" ref="R27:R30" si="12">1/60</f>
        <v>1.6666666666666666E-2</v>
      </c>
      <c r="S27" s="1">
        <v>13.2</v>
      </c>
    </row>
    <row r="28" spans="1:19" ht="13.5" customHeight="1">
      <c r="A28" s="1">
        <v>3.78933759529966</v>
      </c>
      <c r="B28" s="2">
        <f t="shared" si="11"/>
        <v>443.15</v>
      </c>
      <c r="C28" t="s">
        <v>19</v>
      </c>
      <c r="D28" s="1">
        <v>0.17</v>
      </c>
      <c r="E28" t="s">
        <v>42</v>
      </c>
      <c r="F28" s="1">
        <v>0.25</v>
      </c>
      <c r="G28" t="s">
        <v>35</v>
      </c>
      <c r="H28" s="1">
        <v>0.5</v>
      </c>
      <c r="I28" t="s">
        <v>22</v>
      </c>
      <c r="J28" s="1">
        <v>3.14</v>
      </c>
      <c r="K28" s="1">
        <v>2</v>
      </c>
      <c r="L28" s="1">
        <v>8.8699999999999992</v>
      </c>
      <c r="M28" s="1">
        <v>10</v>
      </c>
      <c r="N28">
        <v>0</v>
      </c>
      <c r="O28" s="1">
        <v>0</v>
      </c>
      <c r="P28" s="4">
        <f t="shared" si="0"/>
        <v>10</v>
      </c>
      <c r="Q28" s="1">
        <v>3.25</v>
      </c>
      <c r="R28" s="1">
        <f t="shared" si="12"/>
        <v>1.6666666666666666E-2</v>
      </c>
      <c r="S28" s="1">
        <v>11.4</v>
      </c>
    </row>
    <row r="29" spans="1:19" ht="13.5" customHeight="1">
      <c r="A29" s="1">
        <v>4.0242853273677897</v>
      </c>
      <c r="B29" s="2">
        <f t="shared" si="11"/>
        <v>443.15</v>
      </c>
      <c r="C29" t="s">
        <v>19</v>
      </c>
      <c r="D29" s="1">
        <v>0.17</v>
      </c>
      <c r="E29" t="s">
        <v>43</v>
      </c>
      <c r="F29" s="1">
        <v>0.25</v>
      </c>
      <c r="G29" t="s">
        <v>21</v>
      </c>
      <c r="H29" s="1">
        <v>0.5</v>
      </c>
      <c r="I29" t="s">
        <v>22</v>
      </c>
      <c r="J29" s="1">
        <v>3.14</v>
      </c>
      <c r="K29" s="1">
        <v>2</v>
      </c>
      <c r="L29" s="1">
        <v>8.8699999999999992</v>
      </c>
      <c r="M29" s="1">
        <v>10</v>
      </c>
      <c r="N29">
        <v>0</v>
      </c>
      <c r="O29" s="1">
        <v>0</v>
      </c>
      <c r="P29" s="4">
        <f t="shared" si="0"/>
        <v>10</v>
      </c>
      <c r="Q29" s="1">
        <v>3.17</v>
      </c>
      <c r="R29" s="1">
        <f t="shared" si="12"/>
        <v>1.6666666666666666E-2</v>
      </c>
      <c r="S29" s="1">
        <v>13.5</v>
      </c>
    </row>
    <row r="30" spans="1:19" ht="13.5" customHeight="1">
      <c r="A30" s="1">
        <v>3.8183357339347599</v>
      </c>
      <c r="B30" s="2">
        <f t="shared" si="11"/>
        <v>443.15</v>
      </c>
      <c r="C30" t="s">
        <v>19</v>
      </c>
      <c r="D30" s="1">
        <v>0.17</v>
      </c>
      <c r="E30" t="s">
        <v>43</v>
      </c>
      <c r="F30" s="1">
        <v>0.25</v>
      </c>
      <c r="G30" t="s">
        <v>35</v>
      </c>
      <c r="H30" s="1">
        <v>0.5</v>
      </c>
      <c r="I30" t="s">
        <v>22</v>
      </c>
      <c r="J30" s="1">
        <v>3.14</v>
      </c>
      <c r="K30" s="1">
        <v>2</v>
      </c>
      <c r="L30" s="1">
        <v>8.8699999999999992</v>
      </c>
      <c r="M30" s="1">
        <v>10</v>
      </c>
      <c r="N30">
        <v>0</v>
      </c>
      <c r="O30" s="1">
        <v>0</v>
      </c>
      <c r="P30" s="4">
        <f t="shared" si="0"/>
        <v>10</v>
      </c>
      <c r="Q30" s="1">
        <v>3.27</v>
      </c>
      <c r="R30" s="1">
        <f t="shared" si="12"/>
        <v>1.6666666666666666E-2</v>
      </c>
      <c r="S30" s="1">
        <v>9.6999999999999993</v>
      </c>
    </row>
    <row r="31" spans="1:19" ht="13.5" customHeight="1">
      <c r="A31" s="1">
        <v>3.7931079634195402</v>
      </c>
      <c r="B31" s="2">
        <f>180+273.15</f>
        <v>453.15</v>
      </c>
      <c r="C31" t="s">
        <v>24</v>
      </c>
      <c r="D31" s="1">
        <v>0.5</v>
      </c>
      <c r="E31" t="s">
        <v>23</v>
      </c>
      <c r="F31" s="1">
        <v>0.5</v>
      </c>
      <c r="G31" t="s">
        <v>32</v>
      </c>
      <c r="H31" s="1">
        <v>0.55000000000000004</v>
      </c>
      <c r="I31" t="s">
        <v>22</v>
      </c>
      <c r="J31" s="1">
        <v>4.7</v>
      </c>
      <c r="K31" s="1">
        <v>1.52</v>
      </c>
      <c r="L31" s="1">
        <v>3.17</v>
      </c>
      <c r="M31" s="1">
        <v>10</v>
      </c>
      <c r="N31">
        <v>0</v>
      </c>
      <c r="O31" s="1">
        <v>0</v>
      </c>
      <c r="P31" s="4">
        <f t="shared" si="0"/>
        <v>10</v>
      </c>
      <c r="Q31" s="1">
        <v>4.8</v>
      </c>
      <c r="R31" s="1">
        <f>30/60</f>
        <v>0.5</v>
      </c>
      <c r="S31" s="1">
        <v>12.4</v>
      </c>
    </row>
    <row r="32" spans="1:19" ht="13.5" customHeight="1">
      <c r="A32" s="6">
        <v>3.9623356974945101</v>
      </c>
      <c r="B32" s="2">
        <f t="shared" ref="B32:B37" si="13">200+273.15</f>
        <v>473.15</v>
      </c>
      <c r="C32" t="s">
        <v>24</v>
      </c>
      <c r="D32" s="1">
        <v>9.4E-2</v>
      </c>
      <c r="E32" t="s">
        <v>25</v>
      </c>
      <c r="F32" s="1">
        <v>0.2</v>
      </c>
      <c r="G32" t="s">
        <v>37</v>
      </c>
      <c r="H32" s="1">
        <v>0.2</v>
      </c>
      <c r="I32" t="s">
        <v>27</v>
      </c>
      <c r="J32" s="1">
        <v>0</v>
      </c>
      <c r="K32" s="1">
        <v>6.08</v>
      </c>
      <c r="L32" s="1">
        <v>6.65</v>
      </c>
      <c r="M32" s="1">
        <v>9.5</v>
      </c>
      <c r="N32" t="s">
        <v>38</v>
      </c>
      <c r="O32" s="1">
        <v>0.2</v>
      </c>
      <c r="P32" s="4">
        <f t="shared" si="0"/>
        <v>9.6999999999999993</v>
      </c>
      <c r="Q32" s="1">
        <v>2.52</v>
      </c>
      <c r="R32" s="1">
        <f>5/60</f>
        <v>8.3333333333333329E-2</v>
      </c>
      <c r="S32" s="1">
        <v>16.3</v>
      </c>
    </row>
    <row r="33" spans="1:19" ht="13.5" customHeight="1">
      <c r="A33" s="6">
        <v>3.9623356974945101</v>
      </c>
      <c r="B33" s="2">
        <f t="shared" si="13"/>
        <v>473.15</v>
      </c>
      <c r="C33" t="s">
        <v>24</v>
      </c>
      <c r="D33" s="1">
        <v>0.03</v>
      </c>
      <c r="E33" t="s">
        <v>44</v>
      </c>
      <c r="F33" s="1">
        <v>0.11</v>
      </c>
      <c r="G33" t="s">
        <v>37</v>
      </c>
      <c r="H33" s="1">
        <v>0.2</v>
      </c>
      <c r="I33" t="s">
        <v>27</v>
      </c>
      <c r="J33" s="1">
        <v>0</v>
      </c>
      <c r="K33" s="1">
        <v>1.5</v>
      </c>
      <c r="L33" s="1">
        <v>3.26</v>
      </c>
      <c r="M33" s="1">
        <v>5.47</v>
      </c>
      <c r="N33" s="3">
        <v>0</v>
      </c>
      <c r="O33" s="1">
        <v>0</v>
      </c>
      <c r="P33" s="4">
        <f t="shared" si="0"/>
        <v>5.47</v>
      </c>
      <c r="Q33" s="1">
        <v>2</v>
      </c>
      <c r="R33" s="1">
        <v>3</v>
      </c>
      <c r="S33" s="1">
        <v>9.6999999999999993</v>
      </c>
    </row>
    <row r="34" spans="1:19" ht="13.5" customHeight="1">
      <c r="A34" s="6">
        <v>3.9623356974945101</v>
      </c>
      <c r="B34" s="2">
        <f t="shared" si="13"/>
        <v>473.15</v>
      </c>
      <c r="C34" t="s">
        <v>24</v>
      </c>
      <c r="D34" s="1">
        <v>0.03</v>
      </c>
      <c r="E34" t="s">
        <v>44</v>
      </c>
      <c r="F34" s="1">
        <v>0.11</v>
      </c>
      <c r="G34" t="s">
        <v>37</v>
      </c>
      <c r="H34" s="1">
        <v>0.2</v>
      </c>
      <c r="I34" t="s">
        <v>27</v>
      </c>
      <c r="J34" s="1">
        <v>0</v>
      </c>
      <c r="K34" s="1">
        <v>1.5</v>
      </c>
      <c r="L34" s="1">
        <v>0</v>
      </c>
      <c r="M34" s="1">
        <v>5.47</v>
      </c>
      <c r="N34" s="3" t="s">
        <v>45</v>
      </c>
      <c r="O34" s="1">
        <v>1.03</v>
      </c>
      <c r="P34" s="4">
        <f t="shared" si="0"/>
        <v>6.5</v>
      </c>
      <c r="Q34" s="1">
        <v>2</v>
      </c>
      <c r="R34" s="1">
        <v>3</v>
      </c>
      <c r="S34" s="1">
        <v>11</v>
      </c>
    </row>
    <row r="35" spans="1:19" ht="13.5" customHeight="1">
      <c r="A35" s="6">
        <v>3.9623356974945101</v>
      </c>
      <c r="B35" s="2">
        <f t="shared" si="13"/>
        <v>473.15</v>
      </c>
      <c r="C35" t="s">
        <v>24</v>
      </c>
      <c r="D35" s="1">
        <v>0.03</v>
      </c>
      <c r="E35" t="s">
        <v>44</v>
      </c>
      <c r="F35" s="1">
        <v>0.11</v>
      </c>
      <c r="G35" t="s">
        <v>37</v>
      </c>
      <c r="H35" s="1">
        <v>0.2</v>
      </c>
      <c r="I35" t="s">
        <v>27</v>
      </c>
      <c r="J35" s="1">
        <v>0</v>
      </c>
      <c r="K35" s="1">
        <v>1.52</v>
      </c>
      <c r="L35" s="1">
        <v>1.68</v>
      </c>
      <c r="M35" s="1">
        <v>5.47</v>
      </c>
      <c r="N35" s="3">
        <v>0</v>
      </c>
      <c r="O35" s="1">
        <v>0</v>
      </c>
      <c r="P35" s="4">
        <f t="shared" si="0"/>
        <v>5.47</v>
      </c>
      <c r="Q35" s="1">
        <v>2</v>
      </c>
      <c r="R35" s="1">
        <v>3</v>
      </c>
      <c r="S35" s="1">
        <v>9.6999999999999993</v>
      </c>
    </row>
    <row r="36" spans="1:19" ht="13.5" customHeight="1">
      <c r="A36" s="6">
        <v>3.9623356974945101</v>
      </c>
      <c r="B36" s="2">
        <f t="shared" si="13"/>
        <v>473.15</v>
      </c>
      <c r="C36" t="s">
        <v>24</v>
      </c>
      <c r="D36" s="1">
        <v>0.03</v>
      </c>
      <c r="E36" t="s">
        <v>44</v>
      </c>
      <c r="F36" s="1">
        <v>0.11</v>
      </c>
      <c r="G36" t="s">
        <v>37</v>
      </c>
      <c r="H36" s="1">
        <v>0.2</v>
      </c>
      <c r="I36" t="s">
        <v>27</v>
      </c>
      <c r="J36" s="1">
        <v>0</v>
      </c>
      <c r="K36" s="1">
        <v>0.76</v>
      </c>
      <c r="L36" s="1">
        <v>3.26</v>
      </c>
      <c r="M36" s="1">
        <v>5.47</v>
      </c>
      <c r="N36" s="3">
        <v>0</v>
      </c>
      <c r="O36" s="1">
        <v>0</v>
      </c>
      <c r="P36" s="4">
        <f t="shared" si="0"/>
        <v>5.47</v>
      </c>
      <c r="Q36" s="1">
        <v>2</v>
      </c>
      <c r="R36" s="1">
        <v>3</v>
      </c>
      <c r="S36" s="1">
        <v>15.3</v>
      </c>
    </row>
    <row r="37" spans="1:19" ht="13.5" customHeight="1">
      <c r="A37" s="6">
        <v>3.9623356974945101</v>
      </c>
      <c r="B37" s="2">
        <f t="shared" si="13"/>
        <v>473.15</v>
      </c>
      <c r="C37" t="s">
        <v>24</v>
      </c>
      <c r="D37" s="1">
        <v>0.03</v>
      </c>
      <c r="E37" t="s">
        <v>44</v>
      </c>
      <c r="F37" s="1">
        <v>0.11</v>
      </c>
      <c r="G37" t="s">
        <v>37</v>
      </c>
      <c r="H37" s="1">
        <v>0.2</v>
      </c>
      <c r="I37" t="s">
        <v>27</v>
      </c>
      <c r="J37" s="1">
        <v>0</v>
      </c>
      <c r="K37" s="1">
        <v>0.38</v>
      </c>
      <c r="L37" s="1">
        <v>3.26</v>
      </c>
      <c r="M37" s="1">
        <v>5.47</v>
      </c>
      <c r="N37" s="3">
        <v>0</v>
      </c>
      <c r="O37" s="1">
        <v>0</v>
      </c>
      <c r="P37" s="4">
        <f t="shared" si="0"/>
        <v>5.47</v>
      </c>
      <c r="Q37" s="1">
        <v>2</v>
      </c>
      <c r="R37" s="1">
        <v>3</v>
      </c>
      <c r="S37" s="1">
        <v>17</v>
      </c>
    </row>
    <row r="38" spans="1:19" ht="13.5" customHeight="1">
      <c r="A38" s="6">
        <v>3.80174109782548</v>
      </c>
      <c r="B38" s="2">
        <f>185+273.15</f>
        <v>458.15</v>
      </c>
      <c r="C38" t="s">
        <v>19</v>
      </c>
      <c r="D38" s="1">
        <v>0.65</v>
      </c>
      <c r="E38" t="s">
        <v>31</v>
      </c>
      <c r="F38" s="1">
        <v>0.45</v>
      </c>
      <c r="G38" t="s">
        <v>46</v>
      </c>
      <c r="H38" s="1">
        <v>0.5</v>
      </c>
      <c r="I38" t="s">
        <v>22</v>
      </c>
      <c r="J38" s="1">
        <v>3.15</v>
      </c>
      <c r="K38" s="1">
        <v>1.98</v>
      </c>
      <c r="L38" s="1">
        <v>7.92</v>
      </c>
      <c r="M38" s="1">
        <v>10</v>
      </c>
      <c r="N38" s="3">
        <v>0</v>
      </c>
      <c r="O38" s="1">
        <v>0</v>
      </c>
      <c r="P38" s="4">
        <f t="shared" si="0"/>
        <v>10</v>
      </c>
      <c r="Q38" s="1">
        <v>4.58</v>
      </c>
      <c r="R38" s="1">
        <f>1/60</f>
        <v>1.6666666666666666E-2</v>
      </c>
      <c r="S38" s="1">
        <v>15.6</v>
      </c>
    </row>
    <row r="39" spans="1:19" ht="13.5" customHeight="1">
      <c r="A39" s="6">
        <v>4.13</v>
      </c>
      <c r="B39" s="2">
        <f>180+273.15</f>
        <v>453.15</v>
      </c>
      <c r="C39" t="s">
        <v>24</v>
      </c>
      <c r="D39" s="1">
        <v>0.25</v>
      </c>
      <c r="E39" t="s">
        <v>47</v>
      </c>
      <c r="F39" s="1">
        <v>0.2</v>
      </c>
      <c r="G39" t="s">
        <v>48</v>
      </c>
      <c r="H39" s="1">
        <v>0.2</v>
      </c>
      <c r="I39" t="s">
        <v>27</v>
      </c>
      <c r="J39" s="1">
        <v>0</v>
      </c>
      <c r="K39" s="1">
        <v>0.3</v>
      </c>
      <c r="L39" s="1">
        <v>1.33</v>
      </c>
      <c r="M39" s="1">
        <v>13.16</v>
      </c>
      <c r="N39" s="3">
        <v>0</v>
      </c>
      <c r="O39" s="1">
        <v>0</v>
      </c>
      <c r="P39" s="4">
        <f t="shared" si="0"/>
        <v>13.16</v>
      </c>
      <c r="Q39" s="1">
        <v>3.2</v>
      </c>
      <c r="R39" s="1">
        <f>50/60</f>
        <v>0.83333333333333337</v>
      </c>
      <c r="S39" s="1">
        <v>26.6</v>
      </c>
    </row>
    <row r="40" spans="1:19" ht="13.5" customHeight="1">
      <c r="A40" s="1">
        <v>3.8247210185954299</v>
      </c>
      <c r="B40" s="2">
        <f>200+273.15</f>
        <v>473.15</v>
      </c>
      <c r="C40" t="s">
        <v>24</v>
      </c>
      <c r="D40" s="1">
        <v>0.11</v>
      </c>
      <c r="E40" t="s">
        <v>25</v>
      </c>
      <c r="F40" s="1">
        <v>0.104</v>
      </c>
      <c r="G40" t="s">
        <v>49</v>
      </c>
      <c r="H40">
        <v>0.10150000000000001</v>
      </c>
      <c r="I40" s="3" t="s">
        <v>27</v>
      </c>
      <c r="J40" s="1">
        <v>0</v>
      </c>
      <c r="K40">
        <v>3.04</v>
      </c>
      <c r="L40" s="1">
        <v>3.52</v>
      </c>
      <c r="M40" s="3">
        <v>10.89</v>
      </c>
      <c r="N40" s="3">
        <v>0</v>
      </c>
      <c r="O40" s="1">
        <v>0</v>
      </c>
      <c r="P40" s="4">
        <f t="shared" si="0"/>
        <v>10.89</v>
      </c>
      <c r="Q40" s="3">
        <v>2.93</v>
      </c>
      <c r="R40" s="1">
        <v>1</v>
      </c>
      <c r="S40" s="1">
        <v>15.8</v>
      </c>
    </row>
    <row r="41" spans="1:19" ht="13.5" customHeight="1">
      <c r="A41" s="6">
        <v>3.8247210185954299</v>
      </c>
      <c r="B41" s="2">
        <f>140+273.15</f>
        <v>413.15</v>
      </c>
      <c r="C41" s="1" t="s">
        <v>19</v>
      </c>
      <c r="D41" s="1">
        <v>0.71</v>
      </c>
      <c r="E41" t="s">
        <v>23</v>
      </c>
      <c r="F41" s="1">
        <v>0.5</v>
      </c>
      <c r="G41" t="s">
        <v>35</v>
      </c>
      <c r="H41" s="1">
        <v>0.5</v>
      </c>
      <c r="I41" t="s">
        <v>22</v>
      </c>
      <c r="J41" s="1">
        <v>2.7</v>
      </c>
      <c r="K41" s="1">
        <v>1.87</v>
      </c>
      <c r="L41" s="1">
        <v>8.85</v>
      </c>
      <c r="M41" s="1">
        <v>10</v>
      </c>
      <c r="N41" s="3">
        <v>0</v>
      </c>
      <c r="O41" s="1">
        <v>0</v>
      </c>
      <c r="P41" s="4">
        <f t="shared" si="0"/>
        <v>10</v>
      </c>
      <c r="Q41" s="1">
        <v>3.39</v>
      </c>
      <c r="R41" s="1">
        <f>15/60</f>
        <v>0.25</v>
      </c>
      <c r="S41" s="1">
        <v>12.9</v>
      </c>
    </row>
    <row r="42" spans="1:19" ht="13.5" customHeight="1">
      <c r="A42" s="6">
        <v>3.7931079634195402</v>
      </c>
      <c r="B42" s="2">
        <f>105+273.15</f>
        <v>378.15</v>
      </c>
      <c r="C42" t="s">
        <v>24</v>
      </c>
      <c r="D42" s="1">
        <v>0.25</v>
      </c>
      <c r="E42" t="s">
        <v>23</v>
      </c>
      <c r="F42" s="1">
        <v>0.24</v>
      </c>
      <c r="G42" t="s">
        <v>32</v>
      </c>
      <c r="H42" s="1">
        <v>0.25</v>
      </c>
      <c r="I42" t="s">
        <v>33</v>
      </c>
      <c r="J42" s="1">
        <v>1.72</v>
      </c>
      <c r="K42" s="1">
        <v>1.52</v>
      </c>
      <c r="L42" s="1">
        <v>6.34</v>
      </c>
      <c r="M42" s="1">
        <v>4.5</v>
      </c>
      <c r="N42" s="3">
        <v>0</v>
      </c>
      <c r="O42" s="1">
        <v>0</v>
      </c>
      <c r="P42" s="4">
        <f t="shared" si="0"/>
        <v>4.5</v>
      </c>
      <c r="Q42" s="1">
        <v>4.21</v>
      </c>
      <c r="R42" s="1">
        <f>1/60</f>
        <v>1.6666666666666666E-2</v>
      </c>
      <c r="S42" s="1">
        <v>17</v>
      </c>
    </row>
    <row r="43" spans="1:19" ht="13.5" customHeight="1">
      <c r="A43" s="6">
        <v>3.9623356974945101</v>
      </c>
      <c r="B43" s="2">
        <f>150+273.15</f>
        <v>423.15</v>
      </c>
      <c r="C43" t="s">
        <v>19</v>
      </c>
      <c r="D43" s="1">
        <v>0.71</v>
      </c>
      <c r="E43" t="s">
        <v>23</v>
      </c>
      <c r="F43" s="1">
        <v>0.5</v>
      </c>
      <c r="G43" t="s">
        <v>35</v>
      </c>
      <c r="H43" s="1">
        <v>0.5</v>
      </c>
      <c r="I43" t="s">
        <v>36</v>
      </c>
      <c r="J43" s="1">
        <v>2.7</v>
      </c>
      <c r="K43" s="1">
        <v>1.82</v>
      </c>
      <c r="L43" s="1">
        <v>8.8699999999999992</v>
      </c>
      <c r="M43" s="1">
        <v>10</v>
      </c>
      <c r="N43" s="3">
        <v>0</v>
      </c>
      <c r="O43" s="1">
        <v>0</v>
      </c>
      <c r="P43" s="4">
        <f t="shared" si="0"/>
        <v>10</v>
      </c>
      <c r="Q43" s="1">
        <v>2.89</v>
      </c>
      <c r="R43" s="1">
        <f>10/60</f>
        <v>0.16666666666666666</v>
      </c>
      <c r="S43" s="1">
        <v>9</v>
      </c>
    </row>
    <row r="44" spans="1:19" ht="13.5" customHeight="1">
      <c r="A44" s="6">
        <v>3.78960793424887</v>
      </c>
      <c r="B44" s="2">
        <f>140+273.15</f>
        <v>413.15</v>
      </c>
      <c r="C44" t="s">
        <v>24</v>
      </c>
      <c r="D44" s="1">
        <v>0.25</v>
      </c>
      <c r="E44" t="s">
        <v>31</v>
      </c>
      <c r="F44" s="1">
        <v>0.25</v>
      </c>
      <c r="G44" t="s">
        <v>35</v>
      </c>
      <c r="H44" s="1">
        <v>0.25</v>
      </c>
      <c r="I44" t="s">
        <v>33</v>
      </c>
      <c r="J44" s="1">
        <v>1.89</v>
      </c>
      <c r="K44" s="1">
        <v>1.82</v>
      </c>
      <c r="L44" s="1">
        <v>3.8</v>
      </c>
      <c r="M44" s="1">
        <v>4.5</v>
      </c>
      <c r="N44" s="3">
        <v>0</v>
      </c>
      <c r="O44" s="1">
        <v>0</v>
      </c>
      <c r="P44" s="4">
        <f t="shared" si="0"/>
        <v>4.5</v>
      </c>
      <c r="Q44" s="1">
        <v>3.7</v>
      </c>
      <c r="R44" s="1">
        <f>1/60</f>
        <v>1.6666666666666666E-2</v>
      </c>
      <c r="S44" s="1">
        <v>10.1</v>
      </c>
    </row>
    <row r="45" spans="1:19" ht="13.5" customHeight="1">
      <c r="A45" s="6">
        <v>4.15573282594519</v>
      </c>
      <c r="B45" s="2">
        <f>150+273.15</f>
        <v>423.15</v>
      </c>
      <c r="C45" t="s">
        <v>24</v>
      </c>
      <c r="D45" s="1">
        <v>7.3999999999999996E-2</v>
      </c>
      <c r="E45" t="s">
        <v>39</v>
      </c>
      <c r="F45" s="1">
        <v>0.25</v>
      </c>
      <c r="G45" t="s">
        <v>21</v>
      </c>
      <c r="H45" s="1">
        <v>0.25</v>
      </c>
      <c r="I45" t="s">
        <v>33</v>
      </c>
      <c r="J45" s="1">
        <v>2.84</v>
      </c>
      <c r="K45" s="1">
        <v>0</v>
      </c>
      <c r="L45" s="1">
        <v>3.58</v>
      </c>
      <c r="M45" s="1">
        <v>2.54</v>
      </c>
      <c r="N45" s="3">
        <v>0</v>
      </c>
      <c r="O45" s="1">
        <v>0</v>
      </c>
      <c r="P45" s="4">
        <f t="shared" si="0"/>
        <v>2.54</v>
      </c>
      <c r="Q45" s="1">
        <v>1.56</v>
      </c>
      <c r="R45" s="1">
        <f>10/60</f>
        <v>0.16666666666666666</v>
      </c>
      <c r="S45" s="1">
        <v>3.9</v>
      </c>
    </row>
    <row r="46" spans="1:19" ht="13.5" customHeight="1">
      <c r="A46" s="6">
        <v>3.78960793424887</v>
      </c>
      <c r="B46" s="2">
        <f t="shared" ref="B46:B47" si="14">168+273.15</f>
        <v>441.15</v>
      </c>
      <c r="C46" t="s">
        <v>24</v>
      </c>
      <c r="D46" s="1">
        <v>0.65</v>
      </c>
      <c r="E46" t="s">
        <v>31</v>
      </c>
      <c r="F46" s="1">
        <v>0.45</v>
      </c>
      <c r="G46" t="s">
        <v>35</v>
      </c>
      <c r="H46" s="1">
        <v>0.5</v>
      </c>
      <c r="I46" t="s">
        <v>22</v>
      </c>
      <c r="J46" s="1">
        <v>3.15</v>
      </c>
      <c r="K46" s="1">
        <v>2.13</v>
      </c>
      <c r="L46" s="1">
        <v>8.8699999999999992</v>
      </c>
      <c r="M46" s="1">
        <v>0</v>
      </c>
      <c r="N46" s="3">
        <v>0</v>
      </c>
      <c r="O46" s="1">
        <v>0</v>
      </c>
      <c r="P46" s="4">
        <f t="shared" si="0"/>
        <v>0</v>
      </c>
      <c r="Q46" s="1">
        <v>3.8</v>
      </c>
      <c r="R46" s="1">
        <f t="shared" ref="R46:R47" si="15">1/60</f>
        <v>1.6666666666666666E-2</v>
      </c>
      <c r="S46" s="1">
        <v>10.62</v>
      </c>
    </row>
    <row r="47" spans="1:19" ht="13.5" customHeight="1">
      <c r="A47" s="6">
        <v>3.8362877498517798</v>
      </c>
      <c r="B47" s="2">
        <f t="shared" si="14"/>
        <v>441.15</v>
      </c>
      <c r="C47" t="s">
        <v>24</v>
      </c>
      <c r="D47" s="1">
        <v>0.65</v>
      </c>
      <c r="E47" t="s">
        <v>31</v>
      </c>
      <c r="F47" s="1">
        <v>0.45</v>
      </c>
      <c r="G47" t="s">
        <v>32</v>
      </c>
      <c r="H47" s="1">
        <v>0.5</v>
      </c>
      <c r="I47" t="s">
        <v>22</v>
      </c>
      <c r="J47" s="1">
        <v>3.15</v>
      </c>
      <c r="K47" s="1">
        <v>2.13</v>
      </c>
      <c r="L47" s="1">
        <v>8.8699999999999992</v>
      </c>
      <c r="M47" s="1">
        <v>0</v>
      </c>
      <c r="N47" s="3">
        <v>0</v>
      </c>
      <c r="O47" s="1">
        <v>0</v>
      </c>
      <c r="P47" s="4">
        <f t="shared" si="0"/>
        <v>0</v>
      </c>
      <c r="Q47" s="1">
        <v>3.8</v>
      </c>
      <c r="R47" s="1">
        <f t="shared" si="15"/>
        <v>1.6666666666666666E-2</v>
      </c>
      <c r="S47" s="1">
        <v>11.82</v>
      </c>
    </row>
    <row r="48" spans="1:19" ht="13.5" customHeight="1">
      <c r="A48" s="6">
        <v>3.9623356974945101</v>
      </c>
      <c r="B48" s="2">
        <f t="shared" ref="B48:B50" si="16">160+273.15</f>
        <v>433.15</v>
      </c>
      <c r="C48" t="s">
        <v>19</v>
      </c>
      <c r="D48" s="1">
        <v>0.71</v>
      </c>
      <c r="E48" t="s">
        <v>50</v>
      </c>
      <c r="F48" s="1">
        <v>0.5</v>
      </c>
      <c r="G48" t="s">
        <v>29</v>
      </c>
      <c r="H48" s="1">
        <v>0.75</v>
      </c>
      <c r="I48" t="s">
        <v>30</v>
      </c>
      <c r="J48" s="1">
        <v>16.84</v>
      </c>
      <c r="K48" s="1">
        <v>3.65</v>
      </c>
      <c r="L48" s="1">
        <v>3.8</v>
      </c>
      <c r="M48" s="1">
        <v>11</v>
      </c>
      <c r="N48" s="3">
        <v>0</v>
      </c>
      <c r="O48" s="1">
        <v>0</v>
      </c>
      <c r="P48" s="4">
        <f t="shared" si="0"/>
        <v>11</v>
      </c>
      <c r="Q48" s="1">
        <v>2.25</v>
      </c>
      <c r="R48" s="1">
        <f>15/60</f>
        <v>0.25</v>
      </c>
      <c r="S48" s="1">
        <v>15</v>
      </c>
    </row>
    <row r="49" spans="1:19" ht="13.5" customHeight="1">
      <c r="A49" s="6">
        <v>3.9076165146628501</v>
      </c>
      <c r="B49" s="2">
        <f t="shared" si="16"/>
        <v>433.15</v>
      </c>
      <c r="C49" t="s">
        <v>24</v>
      </c>
      <c r="D49" s="1">
        <v>0.35499999999999998</v>
      </c>
      <c r="E49" t="s">
        <v>42</v>
      </c>
      <c r="F49" s="1">
        <v>0.125</v>
      </c>
      <c r="G49" t="s">
        <v>21</v>
      </c>
      <c r="H49" s="1">
        <v>0.25</v>
      </c>
      <c r="I49" t="s">
        <v>33</v>
      </c>
      <c r="J49" s="1">
        <v>3.44</v>
      </c>
      <c r="K49" s="1">
        <v>2.66</v>
      </c>
      <c r="L49" s="1">
        <v>6.34</v>
      </c>
      <c r="M49" s="1">
        <v>4.4000000000000004</v>
      </c>
      <c r="N49" s="3">
        <v>0</v>
      </c>
      <c r="O49" s="1">
        <v>0</v>
      </c>
      <c r="P49" s="4">
        <f t="shared" si="0"/>
        <v>4.4000000000000004</v>
      </c>
      <c r="Q49" s="1">
        <v>4.6399999999999997</v>
      </c>
      <c r="R49" s="1">
        <f t="shared" ref="R49:R50" si="17">1/60</f>
        <v>1.6666666666666666E-2</v>
      </c>
      <c r="S49" s="1">
        <v>10.7</v>
      </c>
    </row>
    <row r="50" spans="1:19" ht="13.5" customHeight="1">
      <c r="A50" s="6">
        <v>4.0242853273677897</v>
      </c>
      <c r="B50" s="2">
        <f t="shared" si="16"/>
        <v>433.15</v>
      </c>
      <c r="C50" t="s">
        <v>24</v>
      </c>
      <c r="D50" s="1">
        <v>0.35499999999999998</v>
      </c>
      <c r="E50" t="s">
        <v>43</v>
      </c>
      <c r="F50" s="1">
        <v>0.125</v>
      </c>
      <c r="G50" t="s">
        <v>21</v>
      </c>
      <c r="H50" s="1">
        <v>0.25</v>
      </c>
      <c r="I50" t="s">
        <v>33</v>
      </c>
      <c r="J50" s="1">
        <v>3.44</v>
      </c>
      <c r="K50" s="1">
        <v>2.66</v>
      </c>
      <c r="L50" s="1">
        <v>6.34</v>
      </c>
      <c r="M50" s="1">
        <v>4.4000000000000004</v>
      </c>
      <c r="N50" s="3">
        <v>0</v>
      </c>
      <c r="O50" s="1">
        <v>0</v>
      </c>
      <c r="P50" s="4">
        <f t="shared" si="0"/>
        <v>4.4000000000000004</v>
      </c>
      <c r="Q50" s="1">
        <v>4.6399999999999997</v>
      </c>
      <c r="R50" s="1">
        <f t="shared" si="17"/>
        <v>1.6666666666666666E-2</v>
      </c>
      <c r="S50" s="1">
        <v>12.4</v>
      </c>
    </row>
    <row r="51" spans="1:19" ht="13.5" customHeight="1">
      <c r="A51" s="6">
        <v>3.80174109782548</v>
      </c>
      <c r="B51" s="2">
        <f t="shared" ref="B51:B52" si="18">230+273.15</f>
        <v>503.15</v>
      </c>
      <c r="C51" t="s">
        <v>24</v>
      </c>
      <c r="D51" s="1">
        <v>0.16</v>
      </c>
      <c r="E51" t="s">
        <v>25</v>
      </c>
      <c r="F51" s="1">
        <v>0.5</v>
      </c>
      <c r="G51" t="s">
        <v>51</v>
      </c>
      <c r="H51" s="1">
        <v>0.5</v>
      </c>
      <c r="I51" t="s">
        <v>27</v>
      </c>
      <c r="J51" s="1">
        <v>0</v>
      </c>
      <c r="K51" s="1">
        <v>3.04</v>
      </c>
      <c r="L51" s="1">
        <v>3.68</v>
      </c>
      <c r="M51" s="1">
        <v>14.64</v>
      </c>
      <c r="N51" s="3">
        <v>0</v>
      </c>
      <c r="O51" s="1">
        <v>0</v>
      </c>
      <c r="P51" s="4">
        <f t="shared" si="0"/>
        <v>14.64</v>
      </c>
      <c r="Q51" s="1">
        <v>3.45</v>
      </c>
      <c r="R51" s="1">
        <f t="shared" ref="R51:R54" si="19">5/60</f>
        <v>8.3333333333333329E-2</v>
      </c>
      <c r="S51" s="1">
        <v>9.5</v>
      </c>
    </row>
    <row r="52" spans="1:19" ht="13.5" customHeight="1">
      <c r="A52" s="6">
        <v>3.8247210185954299</v>
      </c>
      <c r="B52" s="2">
        <f t="shared" si="18"/>
        <v>503.15</v>
      </c>
      <c r="C52" t="s">
        <v>24</v>
      </c>
      <c r="D52" s="1">
        <v>0.16</v>
      </c>
      <c r="E52" t="s">
        <v>25</v>
      </c>
      <c r="F52" s="1">
        <v>0.5</v>
      </c>
      <c r="G52" t="s">
        <v>49</v>
      </c>
      <c r="H52" s="1">
        <v>0.5</v>
      </c>
      <c r="I52" t="s">
        <v>27</v>
      </c>
      <c r="J52" s="1">
        <v>0</v>
      </c>
      <c r="K52" s="1">
        <v>3.04</v>
      </c>
      <c r="L52" s="1">
        <v>3.68</v>
      </c>
      <c r="M52" s="1">
        <v>14.64</v>
      </c>
      <c r="N52" s="3">
        <v>0</v>
      </c>
      <c r="O52" s="1">
        <v>0</v>
      </c>
      <c r="P52" s="4">
        <f t="shared" si="0"/>
        <v>14.64</v>
      </c>
      <c r="Q52" s="1">
        <v>3.39</v>
      </c>
      <c r="R52" s="1">
        <f t="shared" si="19"/>
        <v>8.3333333333333329E-2</v>
      </c>
      <c r="S52" s="1">
        <v>10.7</v>
      </c>
    </row>
    <row r="53" spans="1:19" ht="13.5" customHeight="1">
      <c r="A53" s="6">
        <v>3.9623356974945101</v>
      </c>
      <c r="B53" s="2">
        <f>200+273.15</f>
        <v>473.15</v>
      </c>
      <c r="C53" t="s">
        <v>24</v>
      </c>
      <c r="D53" s="1">
        <v>4.5999999999999999E-2</v>
      </c>
      <c r="E53" t="s">
        <v>25</v>
      </c>
      <c r="F53" s="1">
        <v>0.1</v>
      </c>
      <c r="G53" t="s">
        <v>37</v>
      </c>
      <c r="H53" s="1">
        <v>0.1003</v>
      </c>
      <c r="I53" t="s">
        <v>27</v>
      </c>
      <c r="J53" s="1">
        <v>0</v>
      </c>
      <c r="K53" s="1">
        <v>3.04</v>
      </c>
      <c r="L53" s="1">
        <v>4.75</v>
      </c>
      <c r="M53" s="1">
        <v>4.75</v>
      </c>
      <c r="N53" s="3" t="s">
        <v>38</v>
      </c>
      <c r="O53" s="1">
        <v>0.1</v>
      </c>
      <c r="P53" s="4">
        <f t="shared" si="0"/>
        <v>4.8499999999999996</v>
      </c>
      <c r="Q53" s="1">
        <v>2.52</v>
      </c>
      <c r="R53" s="1">
        <f t="shared" si="19"/>
        <v>8.3333333333333329E-2</v>
      </c>
      <c r="S53" s="1">
        <v>9.5</v>
      </c>
    </row>
    <row r="54" spans="1:19" ht="13.5" customHeight="1">
      <c r="A54" s="6">
        <v>3.98</v>
      </c>
      <c r="B54" s="2">
        <f>120+273.15</f>
        <v>393.15</v>
      </c>
      <c r="C54" t="s">
        <v>24</v>
      </c>
      <c r="D54" s="1">
        <v>3.5499999999999997E-2</v>
      </c>
      <c r="E54" t="s">
        <v>52</v>
      </c>
      <c r="F54" s="1">
        <v>0.26</v>
      </c>
      <c r="G54" t="s">
        <v>49</v>
      </c>
      <c r="H54" s="1">
        <v>0.13</v>
      </c>
      <c r="I54" t="s">
        <v>27</v>
      </c>
      <c r="J54" s="1">
        <v>0</v>
      </c>
      <c r="K54" s="1">
        <v>3.04</v>
      </c>
      <c r="L54" s="1">
        <v>1.04</v>
      </c>
      <c r="M54" s="1">
        <v>10.56</v>
      </c>
      <c r="N54" s="3">
        <v>0</v>
      </c>
      <c r="O54" s="1">
        <v>0</v>
      </c>
      <c r="P54" s="4">
        <f t="shared" si="0"/>
        <v>10.56</v>
      </c>
      <c r="Q54" s="1">
        <v>2.5</v>
      </c>
      <c r="R54" s="1">
        <f t="shared" si="19"/>
        <v>8.3333333333333329E-2</v>
      </c>
      <c r="S54" s="1">
        <v>20</v>
      </c>
    </row>
    <row r="55" spans="1:19" ht="13.5" customHeight="1">
      <c r="A55" s="6">
        <v>3.7931079634195402</v>
      </c>
      <c r="B55" s="2">
        <f>100+273.15</f>
        <v>373.15</v>
      </c>
      <c r="C55" t="s">
        <v>19</v>
      </c>
      <c r="D55" s="1">
        <v>0.125</v>
      </c>
      <c r="E55" t="s">
        <v>23</v>
      </c>
      <c r="F55" s="1">
        <v>0.25</v>
      </c>
      <c r="G55" t="s">
        <v>32</v>
      </c>
      <c r="H55" s="1">
        <v>0.25</v>
      </c>
      <c r="I55" t="s">
        <v>33</v>
      </c>
      <c r="J55" s="1">
        <v>1.5</v>
      </c>
      <c r="K55" s="1">
        <v>1.1399999999999999</v>
      </c>
      <c r="L55" s="1">
        <v>3.96</v>
      </c>
      <c r="M55" s="1">
        <v>5</v>
      </c>
      <c r="N55" s="3">
        <v>0</v>
      </c>
      <c r="O55" s="1">
        <v>0</v>
      </c>
      <c r="P55" s="4">
        <f t="shared" si="0"/>
        <v>5</v>
      </c>
      <c r="Q55" s="1">
        <v>2.38</v>
      </c>
      <c r="R55" s="1">
        <f>1/60</f>
        <v>1.6666666666666666E-2</v>
      </c>
      <c r="S55" s="1">
        <v>7.5</v>
      </c>
    </row>
    <row r="56" spans="1:19" ht="13.5" customHeight="1">
      <c r="A56" s="6">
        <v>3.7931079634195402</v>
      </c>
      <c r="B56" s="2">
        <f t="shared" ref="B56:B57" si="20">105+273.15</f>
        <v>378.15</v>
      </c>
      <c r="C56" t="s">
        <v>24</v>
      </c>
      <c r="D56" s="1">
        <v>0.252</v>
      </c>
      <c r="E56" t="s">
        <v>23</v>
      </c>
      <c r="F56" s="1">
        <v>0.24</v>
      </c>
      <c r="G56" t="s">
        <v>32</v>
      </c>
      <c r="H56" s="1">
        <v>0.25</v>
      </c>
      <c r="I56" t="s">
        <v>33</v>
      </c>
      <c r="J56" s="1">
        <v>1.72</v>
      </c>
      <c r="K56" s="1">
        <v>1.52</v>
      </c>
      <c r="L56" s="1">
        <v>3.17</v>
      </c>
      <c r="M56" s="1">
        <v>4.5</v>
      </c>
      <c r="N56" s="3">
        <v>0</v>
      </c>
      <c r="O56" s="1">
        <v>0</v>
      </c>
      <c r="P56" s="4">
        <f t="shared" si="0"/>
        <v>4.5</v>
      </c>
      <c r="Q56" s="1">
        <v>3.46</v>
      </c>
      <c r="R56" s="1">
        <f t="shared" ref="R56:R57" si="21">5/60</f>
        <v>8.3333333333333329E-2</v>
      </c>
      <c r="S56" s="1">
        <v>14.6</v>
      </c>
    </row>
    <row r="57" spans="1:19" ht="13.5" customHeight="1">
      <c r="A57" s="6">
        <v>3.8247210185954299</v>
      </c>
      <c r="B57" s="2">
        <f t="shared" si="20"/>
        <v>378.15</v>
      </c>
      <c r="C57" t="s">
        <v>24</v>
      </c>
      <c r="D57" s="1">
        <v>0.252</v>
      </c>
      <c r="E57" t="s">
        <v>23</v>
      </c>
      <c r="F57" s="1">
        <v>0.24</v>
      </c>
      <c r="G57" t="s">
        <v>35</v>
      </c>
      <c r="H57" s="1">
        <v>0.25</v>
      </c>
      <c r="I57" t="s">
        <v>33</v>
      </c>
      <c r="J57" s="1">
        <v>1.72</v>
      </c>
      <c r="K57" s="1">
        <v>1.52</v>
      </c>
      <c r="L57" s="1">
        <v>3.17</v>
      </c>
      <c r="M57" s="13">
        <v>4.5</v>
      </c>
      <c r="N57">
        <v>0</v>
      </c>
      <c r="O57" s="1">
        <v>0</v>
      </c>
      <c r="P57" s="4">
        <f t="shared" si="0"/>
        <v>4.5</v>
      </c>
      <c r="Q57" s="1">
        <v>2.87</v>
      </c>
      <c r="R57" s="1">
        <f t="shared" si="21"/>
        <v>8.3333333333333329E-2</v>
      </c>
      <c r="S57" s="1">
        <v>8</v>
      </c>
    </row>
    <row r="58" spans="1:19" s="11" customFormat="1" ht="13.5" customHeight="1">
      <c r="A58" s="14">
        <v>3.9623356974945101</v>
      </c>
      <c r="B58" s="10">
        <f t="shared" ref="B58:B59" si="22">150+273.15</f>
        <v>423.15</v>
      </c>
      <c r="C58" s="11" t="s">
        <v>24</v>
      </c>
      <c r="D58" s="9">
        <v>0.01</v>
      </c>
      <c r="E58" s="11" t="s">
        <v>44</v>
      </c>
      <c r="F58" s="9">
        <v>0.06</v>
      </c>
      <c r="G58" s="11" t="s">
        <v>37</v>
      </c>
      <c r="H58" s="9">
        <v>0.12</v>
      </c>
      <c r="I58" s="11" t="s">
        <v>27</v>
      </c>
      <c r="J58" s="9">
        <v>0</v>
      </c>
      <c r="K58" s="9">
        <v>2.42</v>
      </c>
      <c r="L58" s="9">
        <v>3.96</v>
      </c>
      <c r="M58" s="9">
        <v>10</v>
      </c>
      <c r="N58" s="11" t="s">
        <v>53</v>
      </c>
      <c r="O58" s="9">
        <v>0.4</v>
      </c>
      <c r="P58" s="12">
        <f t="shared" si="0"/>
        <v>10.4</v>
      </c>
      <c r="Q58" s="9">
        <v>2.3199999999999998</v>
      </c>
      <c r="R58" s="9">
        <v>5</v>
      </c>
      <c r="S58" s="9">
        <v>200</v>
      </c>
    </row>
    <row r="59" spans="1:19" ht="13.5" customHeight="1">
      <c r="A59" s="6">
        <v>3.9623356974945101</v>
      </c>
      <c r="B59" s="2">
        <f t="shared" si="22"/>
        <v>423.15</v>
      </c>
      <c r="C59" t="s">
        <v>24</v>
      </c>
      <c r="D59" s="1">
        <v>0.01</v>
      </c>
      <c r="E59" t="s">
        <v>44</v>
      </c>
      <c r="F59" s="1">
        <v>0.06</v>
      </c>
      <c r="G59" t="s">
        <v>37</v>
      </c>
      <c r="H59" s="1">
        <v>0.12</v>
      </c>
      <c r="I59" t="s">
        <v>27</v>
      </c>
      <c r="J59" s="1">
        <v>0</v>
      </c>
      <c r="K59" s="1">
        <v>2.42</v>
      </c>
      <c r="L59" s="1">
        <v>3.96</v>
      </c>
      <c r="M59" s="1">
        <v>10</v>
      </c>
      <c r="N59" t="s">
        <v>53</v>
      </c>
      <c r="O59" s="1">
        <v>0.4</v>
      </c>
      <c r="P59" s="4">
        <f t="shared" si="0"/>
        <v>10.4</v>
      </c>
      <c r="Q59" s="1">
        <v>2.3199999999999998</v>
      </c>
      <c r="R59" s="1">
        <v>5</v>
      </c>
      <c r="S59" s="1">
        <v>15</v>
      </c>
    </row>
    <row r="60" spans="1:19" ht="13.5" customHeight="1">
      <c r="A60" s="6">
        <v>3.8362877498517798</v>
      </c>
      <c r="B60" s="2">
        <f>140+273.15</f>
        <v>413.15</v>
      </c>
      <c r="C60" t="s">
        <v>24</v>
      </c>
      <c r="D60" s="1">
        <v>0.3</v>
      </c>
      <c r="E60" t="s">
        <v>31</v>
      </c>
      <c r="F60" s="1">
        <v>0.3</v>
      </c>
      <c r="G60" t="s">
        <v>32</v>
      </c>
      <c r="H60" s="1">
        <v>0.3</v>
      </c>
      <c r="I60" t="s">
        <v>33</v>
      </c>
      <c r="J60" s="1">
        <v>2.54</v>
      </c>
      <c r="K60" s="1">
        <v>1.52</v>
      </c>
      <c r="L60" s="1">
        <v>3.17</v>
      </c>
      <c r="M60" s="1">
        <v>10</v>
      </c>
      <c r="N60">
        <v>0</v>
      </c>
      <c r="O60" s="1">
        <v>0</v>
      </c>
      <c r="P60" s="4">
        <f t="shared" si="0"/>
        <v>10</v>
      </c>
      <c r="Q60" s="1">
        <v>4.2</v>
      </c>
      <c r="R60" s="1">
        <f>5/60</f>
        <v>8.3333333333333329E-2</v>
      </c>
      <c r="S60" s="1">
        <v>8.4</v>
      </c>
    </row>
    <row r="61" spans="1:19" ht="13.5" customHeight="1">
      <c r="A61" s="6">
        <v>3.8247210185954299</v>
      </c>
      <c r="B61" s="2">
        <f t="shared" ref="B61:B62" si="23">145+273.15</f>
        <v>418.15</v>
      </c>
      <c r="C61" t="s">
        <v>19</v>
      </c>
      <c r="D61" s="1">
        <v>0.42599999999999999</v>
      </c>
      <c r="E61" t="s">
        <v>23</v>
      </c>
      <c r="F61" s="1">
        <v>0.3</v>
      </c>
      <c r="G61" t="s">
        <v>35</v>
      </c>
      <c r="H61" s="1">
        <v>0.3</v>
      </c>
      <c r="I61" t="s">
        <v>22</v>
      </c>
      <c r="J61" s="1">
        <v>1.58</v>
      </c>
      <c r="K61" s="1">
        <v>1.1200000000000001</v>
      </c>
      <c r="L61" s="1">
        <v>5.39</v>
      </c>
      <c r="M61" s="1">
        <v>6</v>
      </c>
      <c r="N61" s="3">
        <v>0</v>
      </c>
      <c r="O61" s="1">
        <v>0</v>
      </c>
      <c r="P61" s="4">
        <f t="shared" si="0"/>
        <v>6</v>
      </c>
      <c r="Q61" s="1">
        <v>3.4</v>
      </c>
      <c r="R61" s="1">
        <f t="shared" ref="R61:R62" si="24">1/60</f>
        <v>1.6666666666666666E-2</v>
      </c>
      <c r="S61" s="1">
        <v>8.5</v>
      </c>
    </row>
    <row r="62" spans="1:19" ht="13.5" customHeight="1">
      <c r="A62" s="6">
        <v>3.9623356974945101</v>
      </c>
      <c r="B62" s="2">
        <f t="shared" si="23"/>
        <v>418.15</v>
      </c>
      <c r="C62" t="s">
        <v>19</v>
      </c>
      <c r="D62" s="1">
        <v>0.42599999999999999</v>
      </c>
      <c r="E62" t="s">
        <v>23</v>
      </c>
      <c r="F62" s="1">
        <v>0.3</v>
      </c>
      <c r="G62" t="s">
        <v>35</v>
      </c>
      <c r="H62" s="1">
        <v>0.3</v>
      </c>
      <c r="I62" t="s">
        <v>36</v>
      </c>
      <c r="J62" s="1">
        <v>1.52</v>
      </c>
      <c r="K62" s="1">
        <v>1.1200000000000001</v>
      </c>
      <c r="L62" s="1">
        <v>5.39</v>
      </c>
      <c r="M62" s="1">
        <v>6</v>
      </c>
      <c r="N62" s="3">
        <v>0</v>
      </c>
      <c r="O62" s="1">
        <v>0</v>
      </c>
      <c r="P62" s="4">
        <f t="shared" si="0"/>
        <v>6</v>
      </c>
      <c r="Q62" s="1">
        <v>2.91</v>
      </c>
      <c r="R62" s="1">
        <f t="shared" si="24"/>
        <v>1.6666666666666666E-2</v>
      </c>
      <c r="S62" s="1">
        <v>8.4</v>
      </c>
    </row>
    <row r="63" spans="1:19" ht="13.5" customHeight="1">
      <c r="A63" s="1">
        <v>3.7931079634195402</v>
      </c>
      <c r="B63" s="2">
        <f>115+273.15</f>
        <v>388.15</v>
      </c>
      <c r="C63" t="s">
        <v>24</v>
      </c>
      <c r="D63" s="1">
        <v>0.25</v>
      </c>
      <c r="E63" t="s">
        <v>23</v>
      </c>
      <c r="F63" s="1">
        <v>0.24</v>
      </c>
      <c r="G63" t="s">
        <v>32</v>
      </c>
      <c r="H63" s="1">
        <v>0.25</v>
      </c>
      <c r="I63" t="s">
        <v>33</v>
      </c>
      <c r="J63" s="1">
        <v>1.72</v>
      </c>
      <c r="K63" s="1">
        <v>0.5</v>
      </c>
      <c r="L63" s="1">
        <v>1</v>
      </c>
      <c r="M63" s="1">
        <v>4.5</v>
      </c>
      <c r="N63">
        <v>0</v>
      </c>
      <c r="O63" s="1">
        <v>0</v>
      </c>
      <c r="P63" s="4">
        <f t="shared" si="0"/>
        <v>4.5</v>
      </c>
      <c r="Q63" s="1">
        <v>3.4</v>
      </c>
      <c r="R63" s="1">
        <f>10/60</f>
        <v>0.16666666666666666</v>
      </c>
      <c r="S63" s="1">
        <v>14.6</v>
      </c>
    </row>
    <row r="64" spans="1:19" ht="13.5" customHeight="1">
      <c r="A64" s="1">
        <v>3.9588091606527001</v>
      </c>
      <c r="B64" s="2">
        <f t="shared" ref="B64:B65" si="25">273.15+180</f>
        <v>453.15</v>
      </c>
      <c r="C64" t="s">
        <v>19</v>
      </c>
      <c r="D64" s="1">
        <v>0.71</v>
      </c>
      <c r="E64" t="s">
        <v>23</v>
      </c>
      <c r="F64" s="1">
        <v>0.5</v>
      </c>
      <c r="G64" t="s">
        <v>21</v>
      </c>
      <c r="H64" s="1">
        <v>0.5</v>
      </c>
      <c r="I64" t="s">
        <v>36</v>
      </c>
      <c r="J64" s="1">
        <v>3.79</v>
      </c>
      <c r="K64" s="1">
        <v>2</v>
      </c>
      <c r="L64" s="1">
        <v>7.92</v>
      </c>
      <c r="M64" s="1">
        <v>10</v>
      </c>
      <c r="N64">
        <v>0</v>
      </c>
      <c r="O64" s="1">
        <v>0</v>
      </c>
      <c r="P64" s="4">
        <f t="shared" si="0"/>
        <v>10</v>
      </c>
      <c r="Q64" s="1">
        <v>2.76</v>
      </c>
      <c r="R64" s="1">
        <f t="shared" ref="R64:R65" si="26">30/60</f>
        <v>0.5</v>
      </c>
      <c r="S64" s="1">
        <v>14.3</v>
      </c>
    </row>
    <row r="65" spans="1:19" ht="13.5" customHeight="1">
      <c r="A65" s="1">
        <v>3.80174109782548</v>
      </c>
      <c r="B65" s="2">
        <f t="shared" si="25"/>
        <v>453.15</v>
      </c>
      <c r="C65" t="s">
        <v>19</v>
      </c>
      <c r="D65" s="1">
        <v>0.71</v>
      </c>
      <c r="E65" t="s">
        <v>23</v>
      </c>
      <c r="F65" s="1">
        <v>0.5</v>
      </c>
      <c r="G65" t="s">
        <v>21</v>
      </c>
      <c r="H65" s="1">
        <v>0.5</v>
      </c>
      <c r="I65" t="s">
        <v>22</v>
      </c>
      <c r="J65" s="1">
        <v>3.96</v>
      </c>
      <c r="K65" s="1">
        <v>2</v>
      </c>
      <c r="L65" s="1">
        <v>7.92</v>
      </c>
      <c r="M65" s="1">
        <v>10</v>
      </c>
      <c r="N65">
        <v>0</v>
      </c>
      <c r="O65" s="1">
        <v>0</v>
      </c>
      <c r="P65" s="4">
        <f t="shared" si="0"/>
        <v>10</v>
      </c>
      <c r="Q65" s="1">
        <v>3.4</v>
      </c>
      <c r="R65" s="1">
        <f t="shared" si="26"/>
        <v>0.5</v>
      </c>
      <c r="S65" s="1">
        <v>9.1</v>
      </c>
    </row>
    <row r="66" spans="1:19" ht="13.5" customHeight="1">
      <c r="A66" s="1">
        <v>3.8247210185954299</v>
      </c>
      <c r="B66" s="2">
        <f>140+273.15</f>
        <v>413.15</v>
      </c>
      <c r="C66" t="s">
        <v>19</v>
      </c>
      <c r="D66" s="1">
        <v>0.71</v>
      </c>
      <c r="E66" t="s">
        <v>23</v>
      </c>
      <c r="F66" s="1">
        <v>0.5</v>
      </c>
      <c r="G66" t="s">
        <v>35</v>
      </c>
      <c r="H66" s="1">
        <v>0.5</v>
      </c>
      <c r="I66" t="s">
        <v>22</v>
      </c>
      <c r="J66" s="1">
        <v>2.7</v>
      </c>
      <c r="K66" s="1">
        <v>1.87</v>
      </c>
      <c r="L66" s="1">
        <v>8.8699999999999992</v>
      </c>
      <c r="M66" s="1">
        <v>10</v>
      </c>
      <c r="N66">
        <v>0</v>
      </c>
      <c r="O66" s="1">
        <v>0</v>
      </c>
      <c r="P66" s="4">
        <f>M66+O66</f>
        <v>10</v>
      </c>
      <c r="Q66" s="1">
        <v>3.4</v>
      </c>
      <c r="R66" s="1">
        <f>10/60</f>
        <v>0.16666666666666666</v>
      </c>
      <c r="S66" s="1">
        <v>11.8</v>
      </c>
    </row>
    <row r="67" spans="1:19" s="11" customFormat="1" ht="13.5" customHeight="1">
      <c r="A67" s="9">
        <v>3.8247210185954299</v>
      </c>
      <c r="B67" s="10">
        <f>25+273.15</f>
        <v>298.14999999999998</v>
      </c>
      <c r="C67" s="11" t="s">
        <v>24</v>
      </c>
      <c r="D67" s="9">
        <v>0.08</v>
      </c>
      <c r="E67" s="11" t="s">
        <v>25</v>
      </c>
      <c r="F67" s="9">
        <v>0.2</v>
      </c>
      <c r="G67" s="11" t="s">
        <v>49</v>
      </c>
      <c r="H67" s="9">
        <v>0.1</v>
      </c>
      <c r="I67" s="11" t="s">
        <v>27</v>
      </c>
      <c r="J67" s="9">
        <v>0</v>
      </c>
      <c r="K67" s="9">
        <v>3.95</v>
      </c>
      <c r="L67" s="9">
        <v>3.17</v>
      </c>
      <c r="M67" s="9">
        <v>4</v>
      </c>
      <c r="N67" s="11" t="s">
        <v>28</v>
      </c>
      <c r="O67" s="9">
        <v>0.1</v>
      </c>
      <c r="P67" s="12">
        <f>M67+O67</f>
        <v>4.0999999999999996</v>
      </c>
      <c r="Q67" s="9">
        <v>3.3</v>
      </c>
      <c r="R67" s="9">
        <v>10</v>
      </c>
      <c r="S67" s="9">
        <v>120</v>
      </c>
    </row>
    <row r="68" spans="1:19" ht="13.5" customHeight="1">
      <c r="A68" s="1">
        <v>3.8183357339347599</v>
      </c>
      <c r="B68" s="15">
        <f>110+273.15</f>
        <v>383.15</v>
      </c>
      <c r="C68" t="s">
        <v>19</v>
      </c>
      <c r="D68" s="1">
        <v>0.72</v>
      </c>
      <c r="E68" t="s">
        <v>43</v>
      </c>
      <c r="F68" s="1">
        <v>0.18</v>
      </c>
      <c r="G68" t="s">
        <v>35</v>
      </c>
      <c r="H68" s="1">
        <v>0.36</v>
      </c>
      <c r="I68" t="s">
        <v>22</v>
      </c>
      <c r="J68" s="1">
        <v>2.16</v>
      </c>
      <c r="K68" s="1">
        <v>2.13</v>
      </c>
      <c r="L68" s="1">
        <v>7.92</v>
      </c>
      <c r="M68" s="1">
        <v>10</v>
      </c>
      <c r="N68">
        <v>0</v>
      </c>
      <c r="O68" s="1">
        <v>0</v>
      </c>
      <c r="P68" s="4">
        <f t="shared" ref="P68:P131" si="27">M68+O68</f>
        <v>10</v>
      </c>
      <c r="Q68" s="1">
        <v>3.73</v>
      </c>
      <c r="R68" s="1">
        <v>1</v>
      </c>
      <c r="S68" s="1">
        <v>17.5</v>
      </c>
    </row>
    <row r="69" spans="1:19" ht="13.5" customHeight="1">
      <c r="A69" s="1">
        <v>3.7931079634195402</v>
      </c>
      <c r="B69" s="15">
        <f>170+273.15</f>
        <v>443.15</v>
      </c>
      <c r="C69" t="s">
        <v>19</v>
      </c>
      <c r="D69" s="1">
        <v>0.71</v>
      </c>
      <c r="E69" t="s">
        <v>23</v>
      </c>
      <c r="F69" s="1">
        <v>0.5</v>
      </c>
      <c r="G69" t="s">
        <v>32</v>
      </c>
      <c r="H69" s="1">
        <v>0.5</v>
      </c>
      <c r="I69" t="s">
        <v>22</v>
      </c>
      <c r="J69" s="1">
        <v>2.7</v>
      </c>
      <c r="K69" s="1">
        <v>2.0099999999999998</v>
      </c>
      <c r="L69" s="1">
        <v>8.8699999999999992</v>
      </c>
      <c r="M69" s="1">
        <v>10</v>
      </c>
      <c r="N69">
        <v>0</v>
      </c>
      <c r="O69" s="1">
        <v>0</v>
      </c>
      <c r="P69" s="4">
        <f t="shared" si="27"/>
        <v>10</v>
      </c>
      <c r="Q69" s="1">
        <v>4.9000000000000004</v>
      </c>
      <c r="R69" s="1">
        <v>8</v>
      </c>
      <c r="S69" s="1">
        <v>12.8</v>
      </c>
    </row>
    <row r="70" spans="1:19" ht="13.5" customHeight="1">
      <c r="A70" s="1">
        <v>3.7931079634195402</v>
      </c>
      <c r="B70" s="15">
        <f>170+273.15</f>
        <v>443.15</v>
      </c>
      <c r="C70" t="s">
        <v>19</v>
      </c>
      <c r="D70" s="1">
        <v>0.71</v>
      </c>
      <c r="E70" t="s">
        <v>23</v>
      </c>
      <c r="F70" s="1">
        <v>0.5</v>
      </c>
      <c r="G70" t="s">
        <v>32</v>
      </c>
      <c r="H70" s="1">
        <v>0.5</v>
      </c>
      <c r="I70" t="s">
        <v>54</v>
      </c>
      <c r="J70" s="1">
        <v>0.67500000000000004</v>
      </c>
      <c r="K70" s="1">
        <v>2.0099999999999998</v>
      </c>
      <c r="L70" s="1">
        <v>8.8699999999999992</v>
      </c>
      <c r="M70" s="1">
        <v>10</v>
      </c>
      <c r="N70">
        <v>0</v>
      </c>
      <c r="O70" s="1">
        <v>0</v>
      </c>
      <c r="P70" s="4">
        <f t="shared" si="27"/>
        <v>10</v>
      </c>
      <c r="Q70" s="1">
        <v>5</v>
      </c>
      <c r="R70" s="1">
        <v>8</v>
      </c>
      <c r="S70" s="1">
        <v>10</v>
      </c>
    </row>
    <row r="71" spans="1:19" ht="13.5" customHeight="1">
      <c r="A71" s="1">
        <v>4.09916438142701</v>
      </c>
      <c r="B71" s="15">
        <f t="shared" ref="B71:B73" si="28">180+273.15</f>
        <v>453.15</v>
      </c>
      <c r="C71" t="s">
        <v>19</v>
      </c>
      <c r="D71" s="1">
        <v>0.71</v>
      </c>
      <c r="E71" t="s">
        <v>20</v>
      </c>
      <c r="F71" s="1">
        <v>0.25</v>
      </c>
      <c r="G71" t="s">
        <v>32</v>
      </c>
      <c r="H71" s="1">
        <v>0.5</v>
      </c>
      <c r="I71" t="s">
        <v>22</v>
      </c>
      <c r="J71" s="1">
        <v>3.94</v>
      </c>
      <c r="K71" s="1">
        <v>2.0099999999999998</v>
      </c>
      <c r="L71" s="1">
        <v>7.92</v>
      </c>
      <c r="M71" s="1">
        <v>10</v>
      </c>
      <c r="N71">
        <v>0</v>
      </c>
      <c r="O71" s="1">
        <v>0</v>
      </c>
      <c r="P71" s="4">
        <f t="shared" si="27"/>
        <v>10</v>
      </c>
      <c r="Q71" s="1">
        <v>3.82</v>
      </c>
      <c r="R71" s="1">
        <v>1</v>
      </c>
      <c r="S71" s="1">
        <v>17.100000000000001</v>
      </c>
    </row>
    <row r="72" spans="1:19" ht="13.5" customHeight="1">
      <c r="A72" s="1">
        <v>4.09916438142701</v>
      </c>
      <c r="B72" s="15">
        <f t="shared" si="28"/>
        <v>453.15</v>
      </c>
      <c r="C72" t="s">
        <v>19</v>
      </c>
      <c r="D72" s="1">
        <v>0.71</v>
      </c>
      <c r="E72" t="s">
        <v>20</v>
      </c>
      <c r="F72" s="1">
        <v>0.25</v>
      </c>
      <c r="G72" t="s">
        <v>32</v>
      </c>
      <c r="H72" s="1">
        <v>0.5</v>
      </c>
      <c r="I72" t="s">
        <v>22</v>
      </c>
      <c r="J72" s="1">
        <v>3.94</v>
      </c>
      <c r="K72" s="1">
        <v>2.0099999999999998</v>
      </c>
      <c r="L72" s="1">
        <v>7.92</v>
      </c>
      <c r="M72" s="1">
        <v>10</v>
      </c>
      <c r="N72">
        <v>0</v>
      </c>
      <c r="O72" s="1">
        <v>0</v>
      </c>
      <c r="P72" s="4">
        <f t="shared" si="27"/>
        <v>10</v>
      </c>
      <c r="Q72" s="1">
        <v>3.56</v>
      </c>
      <c r="R72" s="1">
        <v>1</v>
      </c>
      <c r="S72" s="1">
        <v>74.099999999999994</v>
      </c>
    </row>
    <row r="73" spans="1:19" ht="13.5" customHeight="1">
      <c r="A73" s="6">
        <v>4.15573282594519</v>
      </c>
      <c r="B73" s="15">
        <f t="shared" si="28"/>
        <v>453.15</v>
      </c>
      <c r="C73" t="s">
        <v>19</v>
      </c>
      <c r="D73" s="1">
        <v>0.35499999999999998</v>
      </c>
      <c r="E73" t="s">
        <v>20</v>
      </c>
      <c r="F73" s="1">
        <v>0.125</v>
      </c>
      <c r="G73" t="s">
        <v>21</v>
      </c>
      <c r="H73" s="1">
        <v>0.25</v>
      </c>
      <c r="I73" t="s">
        <v>22</v>
      </c>
      <c r="J73" s="1">
        <v>1.97</v>
      </c>
      <c r="K73" s="1">
        <v>2.0099999999999998</v>
      </c>
      <c r="L73" s="1">
        <v>4.75</v>
      </c>
      <c r="M73" s="1">
        <v>5</v>
      </c>
      <c r="N73">
        <v>0</v>
      </c>
      <c r="O73" s="1">
        <v>0</v>
      </c>
      <c r="P73" s="4">
        <f t="shared" si="27"/>
        <v>5</v>
      </c>
      <c r="Q73" s="1">
        <v>1.81</v>
      </c>
      <c r="R73" s="1">
        <f>5/60</f>
        <v>8.3333333333333329E-2</v>
      </c>
      <c r="S73" s="1">
        <v>13.4</v>
      </c>
    </row>
    <row r="74" spans="1:19" ht="13.5" customHeight="1">
      <c r="A74" s="1">
        <v>4.2685301364983799</v>
      </c>
      <c r="B74" s="15">
        <f>200+273.15</f>
        <v>473.15</v>
      </c>
      <c r="C74" t="s">
        <v>19</v>
      </c>
      <c r="D74" s="1">
        <v>0.71</v>
      </c>
      <c r="E74" t="s">
        <v>55</v>
      </c>
      <c r="F74" s="1">
        <v>0</v>
      </c>
      <c r="G74" t="s">
        <v>56</v>
      </c>
      <c r="H74" s="1">
        <v>0.71</v>
      </c>
      <c r="I74" t="s">
        <v>22</v>
      </c>
      <c r="J74" s="1">
        <v>3.15</v>
      </c>
      <c r="K74" s="1">
        <v>1.87</v>
      </c>
      <c r="L74" s="1">
        <v>8.8699999999999992</v>
      </c>
      <c r="M74" s="1">
        <v>10</v>
      </c>
      <c r="N74">
        <v>0</v>
      </c>
      <c r="O74" s="1">
        <v>0</v>
      </c>
      <c r="P74" s="4">
        <f t="shared" si="27"/>
        <v>10</v>
      </c>
      <c r="Q74" s="1">
        <v>4</v>
      </c>
      <c r="R74" s="1">
        <v>5</v>
      </c>
      <c r="S74" s="1">
        <v>20</v>
      </c>
    </row>
    <row r="75" spans="1:19" ht="13.5" customHeight="1">
      <c r="A75" s="6">
        <v>4.1693332676940598</v>
      </c>
      <c r="B75" s="2">
        <f>180+273.15</f>
        <v>453.15</v>
      </c>
      <c r="C75" t="s">
        <v>24</v>
      </c>
      <c r="D75" s="1">
        <v>3.5499999999999997E-2</v>
      </c>
      <c r="E75" t="s">
        <v>55</v>
      </c>
      <c r="F75" s="1">
        <v>0</v>
      </c>
      <c r="G75" t="s">
        <v>52</v>
      </c>
      <c r="H75" s="1">
        <v>0.38</v>
      </c>
      <c r="I75" t="s">
        <v>27</v>
      </c>
      <c r="J75" s="1">
        <v>0</v>
      </c>
      <c r="K75" s="1">
        <v>3.04</v>
      </c>
      <c r="L75" s="1">
        <v>3.3</v>
      </c>
      <c r="M75" s="1">
        <v>10.56</v>
      </c>
      <c r="N75">
        <v>0</v>
      </c>
      <c r="O75" s="1">
        <v>0</v>
      </c>
      <c r="P75" s="4">
        <f t="shared" si="27"/>
        <v>10.56</v>
      </c>
      <c r="Q75" s="1">
        <v>1.96</v>
      </c>
      <c r="R75" s="1">
        <f>5/60</f>
        <v>8.3333333333333329E-2</v>
      </c>
      <c r="S75" s="1">
        <v>40</v>
      </c>
    </row>
    <row r="76" spans="1:19" ht="13.5" customHeight="1">
      <c r="A76" s="6">
        <v>4.3101615237850002</v>
      </c>
      <c r="B76" s="2">
        <f>210+273.15</f>
        <v>483.15</v>
      </c>
      <c r="C76" t="s">
        <v>24</v>
      </c>
      <c r="D76" s="1">
        <v>2.5</v>
      </c>
      <c r="E76" t="s">
        <v>55</v>
      </c>
      <c r="F76" s="1">
        <v>0</v>
      </c>
      <c r="G76" t="s">
        <v>57</v>
      </c>
      <c r="H76" s="1">
        <v>0.2</v>
      </c>
      <c r="I76" t="s">
        <v>27</v>
      </c>
      <c r="J76" s="1">
        <v>0</v>
      </c>
      <c r="K76" s="1">
        <v>1.52</v>
      </c>
      <c r="L76" s="1">
        <v>56.77</v>
      </c>
      <c r="M76" s="1">
        <v>22.5</v>
      </c>
      <c r="N76" s="3">
        <v>0</v>
      </c>
      <c r="O76" s="1">
        <v>0</v>
      </c>
      <c r="P76" s="4">
        <f t="shared" si="27"/>
        <v>22.5</v>
      </c>
      <c r="Q76" s="1">
        <v>2.64</v>
      </c>
      <c r="R76" s="1">
        <f t="shared" ref="R76:R77" si="29">30/60</f>
        <v>0.5</v>
      </c>
      <c r="S76" s="1">
        <v>37</v>
      </c>
    </row>
    <row r="77" spans="1:19" ht="13.5" customHeight="1">
      <c r="A77" s="6">
        <v>4.1693332676940598</v>
      </c>
      <c r="B77" s="2">
        <f>120+273.15</f>
        <v>393.15</v>
      </c>
      <c r="C77" t="s">
        <v>24</v>
      </c>
      <c r="D77" s="1">
        <v>1.0999999999999999E-2</v>
      </c>
      <c r="E77" t="s">
        <v>55</v>
      </c>
      <c r="F77" s="1">
        <v>0</v>
      </c>
      <c r="G77" t="s">
        <v>52</v>
      </c>
      <c r="H77" s="1">
        <v>1.2E-2</v>
      </c>
      <c r="I77" t="s">
        <v>27</v>
      </c>
      <c r="J77" s="1">
        <v>0</v>
      </c>
      <c r="K77" s="1">
        <v>0.46</v>
      </c>
      <c r="L77" s="1">
        <v>0.51</v>
      </c>
      <c r="M77" s="1">
        <v>1.67</v>
      </c>
      <c r="N77" s="3">
        <v>0</v>
      </c>
      <c r="O77" s="1">
        <v>0</v>
      </c>
      <c r="P77" s="4">
        <f t="shared" si="27"/>
        <v>1.67</v>
      </c>
      <c r="Q77" s="1">
        <v>2.5299999999999998</v>
      </c>
      <c r="R77" s="1">
        <f t="shared" si="29"/>
        <v>0.5</v>
      </c>
      <c r="S77" s="1">
        <v>39.5</v>
      </c>
    </row>
    <row r="78" spans="1:19" ht="13.5" customHeight="1">
      <c r="A78" s="6">
        <v>4.1693332676940598</v>
      </c>
      <c r="B78" s="2">
        <f t="shared" ref="B78:B79" si="30">180+273.15</f>
        <v>453.15</v>
      </c>
      <c r="C78" t="s">
        <v>24</v>
      </c>
      <c r="D78" s="1">
        <v>1.0740000000000001</v>
      </c>
      <c r="E78" t="s">
        <v>55</v>
      </c>
      <c r="F78" s="1">
        <v>0</v>
      </c>
      <c r="G78" t="s">
        <v>52</v>
      </c>
      <c r="H78" s="1">
        <v>0.17</v>
      </c>
      <c r="I78" t="s">
        <v>27</v>
      </c>
      <c r="J78" s="1">
        <v>0</v>
      </c>
      <c r="K78" s="1">
        <v>24.31</v>
      </c>
      <c r="L78" s="1">
        <v>10.3</v>
      </c>
      <c r="M78" s="1">
        <v>30</v>
      </c>
      <c r="N78" s="3">
        <v>0</v>
      </c>
      <c r="O78" s="1">
        <v>0</v>
      </c>
      <c r="P78" s="4">
        <f t="shared" si="27"/>
        <v>30</v>
      </c>
      <c r="Q78" s="1">
        <v>2.86</v>
      </c>
      <c r="R78" s="1">
        <f t="shared" ref="R78:R79" si="31">10/60</f>
        <v>0.16666666666666666</v>
      </c>
      <c r="S78" s="1">
        <v>5</v>
      </c>
    </row>
    <row r="79" spans="1:19" ht="13.5" customHeight="1">
      <c r="A79" s="6">
        <v>4.3925824404203997</v>
      </c>
      <c r="B79" s="2">
        <f t="shared" si="30"/>
        <v>453.15</v>
      </c>
      <c r="C79" t="s">
        <v>58</v>
      </c>
      <c r="D79" s="1">
        <v>1.52</v>
      </c>
      <c r="E79" t="s">
        <v>55</v>
      </c>
      <c r="F79" s="1">
        <v>0</v>
      </c>
      <c r="G79" t="s">
        <v>52</v>
      </c>
      <c r="H79" s="1">
        <v>0.17</v>
      </c>
      <c r="I79" t="s">
        <v>27</v>
      </c>
      <c r="J79" s="1">
        <v>0</v>
      </c>
      <c r="K79" s="1">
        <v>24.31</v>
      </c>
      <c r="L79" s="1">
        <v>10.3</v>
      </c>
      <c r="M79" s="1">
        <v>30</v>
      </c>
      <c r="N79" s="3">
        <v>0</v>
      </c>
      <c r="O79" s="1">
        <v>0</v>
      </c>
      <c r="P79" s="4">
        <f t="shared" si="27"/>
        <v>30</v>
      </c>
      <c r="Q79" s="1">
        <v>2.2799999999999998</v>
      </c>
      <c r="R79" s="1">
        <f t="shared" si="31"/>
        <v>0.16666666666666666</v>
      </c>
      <c r="S79" s="1">
        <v>4.5</v>
      </c>
    </row>
    <row r="80" spans="1:19" ht="13.5" customHeight="1">
      <c r="A80" s="6">
        <v>4.1693332676940598</v>
      </c>
      <c r="B80" s="2">
        <f t="shared" ref="B80:B82" si="32">160+273.15</f>
        <v>433.15</v>
      </c>
      <c r="C80" t="s">
        <v>19</v>
      </c>
      <c r="D80" s="1">
        <v>0.13</v>
      </c>
      <c r="E80" t="s">
        <v>55</v>
      </c>
      <c r="F80" s="1">
        <v>0</v>
      </c>
      <c r="G80" t="s">
        <v>35</v>
      </c>
      <c r="H80" s="1">
        <v>0.5</v>
      </c>
      <c r="I80" t="s">
        <v>59</v>
      </c>
      <c r="J80" s="1">
        <v>1.76</v>
      </c>
      <c r="K80" s="1">
        <v>0.56000000000000005</v>
      </c>
      <c r="L80" s="1">
        <v>7.08</v>
      </c>
      <c r="M80" s="1">
        <v>3.8</v>
      </c>
      <c r="N80" s="3">
        <v>0</v>
      </c>
      <c r="O80" s="1">
        <v>0</v>
      </c>
      <c r="P80" s="4">
        <f t="shared" si="27"/>
        <v>3.8</v>
      </c>
      <c r="Q80" s="1">
        <v>2.58</v>
      </c>
      <c r="R80" s="1">
        <f t="shared" ref="R80:R82" si="33">15/60</f>
        <v>0.25</v>
      </c>
      <c r="S80" s="1">
        <v>24.9</v>
      </c>
    </row>
    <row r="81" spans="1:19" ht="13.5" customHeight="1">
      <c r="A81" s="6">
        <v>3.7906924909950299</v>
      </c>
      <c r="B81" s="2">
        <f t="shared" si="32"/>
        <v>433.15</v>
      </c>
      <c r="C81" t="s">
        <v>19</v>
      </c>
      <c r="D81" s="1">
        <v>0.25</v>
      </c>
      <c r="E81" t="s">
        <v>55</v>
      </c>
      <c r="F81" s="1">
        <v>0</v>
      </c>
      <c r="G81" t="s">
        <v>35</v>
      </c>
      <c r="H81" s="1">
        <v>0.5</v>
      </c>
      <c r="I81" t="s">
        <v>22</v>
      </c>
      <c r="J81" s="1">
        <v>3.94</v>
      </c>
      <c r="K81" s="1">
        <v>0.93</v>
      </c>
      <c r="L81" s="1">
        <v>14.16</v>
      </c>
      <c r="M81" s="1">
        <v>7.6</v>
      </c>
      <c r="N81" s="3">
        <v>0</v>
      </c>
      <c r="O81" s="1">
        <v>0</v>
      </c>
      <c r="P81" s="4">
        <f t="shared" si="27"/>
        <v>7.6</v>
      </c>
      <c r="Q81" s="1">
        <v>3.44</v>
      </c>
      <c r="R81" s="1">
        <f t="shared" si="33"/>
        <v>0.25</v>
      </c>
      <c r="S81" s="1">
        <v>22.5</v>
      </c>
    </row>
    <row r="82" spans="1:19" ht="13.5" customHeight="1">
      <c r="A82" s="6">
        <v>3.9363235589561998</v>
      </c>
      <c r="B82" s="2">
        <f t="shared" si="32"/>
        <v>433.15</v>
      </c>
      <c r="C82" t="s">
        <v>19</v>
      </c>
      <c r="D82" s="1">
        <v>0.25</v>
      </c>
      <c r="E82" t="s">
        <v>55</v>
      </c>
      <c r="F82" s="1">
        <v>0</v>
      </c>
      <c r="G82" t="s">
        <v>35</v>
      </c>
      <c r="H82" s="1">
        <v>0.5</v>
      </c>
      <c r="I82" t="s">
        <v>36</v>
      </c>
      <c r="J82" s="1">
        <v>3.79</v>
      </c>
      <c r="K82" s="1">
        <v>0.93</v>
      </c>
      <c r="L82" s="1">
        <v>14.16</v>
      </c>
      <c r="M82" s="1">
        <v>7.6</v>
      </c>
      <c r="N82" s="3">
        <v>0</v>
      </c>
      <c r="O82" s="1">
        <v>0</v>
      </c>
      <c r="P82" s="4">
        <f t="shared" si="27"/>
        <v>7.6</v>
      </c>
      <c r="Q82" s="1">
        <v>2.88</v>
      </c>
      <c r="R82" s="1">
        <f t="shared" si="33"/>
        <v>0.25</v>
      </c>
      <c r="S82" s="1">
        <v>22.5</v>
      </c>
    </row>
    <row r="83" spans="1:19" ht="13.5" customHeight="1">
      <c r="A83" s="6">
        <v>3.9363235589561998</v>
      </c>
      <c r="B83" s="2">
        <f t="shared" ref="B83:B85" si="34">210+273.15</f>
        <v>483.15</v>
      </c>
      <c r="C83" t="s">
        <v>24</v>
      </c>
      <c r="D83" s="1">
        <v>0.01</v>
      </c>
      <c r="E83" t="s">
        <v>55</v>
      </c>
      <c r="F83" s="1">
        <v>0</v>
      </c>
      <c r="G83" t="s">
        <v>37</v>
      </c>
      <c r="H83" s="1">
        <v>0.3</v>
      </c>
      <c r="I83" t="s">
        <v>27</v>
      </c>
      <c r="J83" s="1">
        <v>0</v>
      </c>
      <c r="K83" s="1">
        <v>30.39</v>
      </c>
      <c r="L83" s="1">
        <v>34.85</v>
      </c>
      <c r="M83" s="1">
        <v>0</v>
      </c>
      <c r="N83" s="3">
        <v>0</v>
      </c>
      <c r="O83" s="1">
        <v>0</v>
      </c>
      <c r="P83" s="4">
        <f t="shared" si="27"/>
        <v>0</v>
      </c>
      <c r="Q83" s="1">
        <v>2.83</v>
      </c>
      <c r="R83" s="1">
        <v>1</v>
      </c>
      <c r="S83" s="1">
        <v>17</v>
      </c>
    </row>
    <row r="84" spans="1:19" ht="13.5" customHeight="1">
      <c r="A84" s="6">
        <v>3.9363235589561998</v>
      </c>
      <c r="B84" s="2">
        <f t="shared" si="34"/>
        <v>483.15</v>
      </c>
      <c r="C84" t="s">
        <v>24</v>
      </c>
      <c r="D84" s="1">
        <v>0.01</v>
      </c>
      <c r="E84" t="s">
        <v>55</v>
      </c>
      <c r="F84" s="1">
        <v>0</v>
      </c>
      <c r="G84" t="s">
        <v>37</v>
      </c>
      <c r="H84" s="1">
        <v>0.3</v>
      </c>
      <c r="I84" t="s">
        <v>27</v>
      </c>
      <c r="J84" s="1">
        <v>0</v>
      </c>
      <c r="K84" s="1">
        <v>30.39</v>
      </c>
      <c r="L84" s="1">
        <v>34.85</v>
      </c>
      <c r="M84" s="1">
        <v>0</v>
      </c>
      <c r="N84" s="3">
        <v>0</v>
      </c>
      <c r="O84" s="1">
        <v>0</v>
      </c>
      <c r="P84" s="4">
        <f t="shared" si="27"/>
        <v>0</v>
      </c>
      <c r="Q84" s="1">
        <v>2.79</v>
      </c>
      <c r="R84" s="1">
        <v>5</v>
      </c>
      <c r="S84" s="1">
        <v>23</v>
      </c>
    </row>
    <row r="85" spans="1:19" ht="13.5" customHeight="1">
      <c r="A85" s="6">
        <v>3.9363235589561998</v>
      </c>
      <c r="B85" s="2">
        <f t="shared" si="34"/>
        <v>483.15</v>
      </c>
      <c r="C85" t="s">
        <v>24</v>
      </c>
      <c r="D85" s="1">
        <v>0.01</v>
      </c>
      <c r="E85" t="s">
        <v>55</v>
      </c>
      <c r="F85" s="1">
        <v>0</v>
      </c>
      <c r="G85" t="s">
        <v>37</v>
      </c>
      <c r="H85" s="1">
        <v>0.3</v>
      </c>
      <c r="I85" t="s">
        <v>27</v>
      </c>
      <c r="J85" s="1">
        <v>0</v>
      </c>
      <c r="K85" s="1">
        <v>30.39</v>
      </c>
      <c r="L85" s="1">
        <v>34.85</v>
      </c>
      <c r="M85" s="1">
        <v>0</v>
      </c>
      <c r="N85" s="3">
        <v>0</v>
      </c>
      <c r="O85" s="1">
        <v>0</v>
      </c>
      <c r="P85" s="4">
        <f t="shared" si="27"/>
        <v>0</v>
      </c>
      <c r="Q85" s="1">
        <v>2.78</v>
      </c>
      <c r="R85" s="1">
        <v>10</v>
      </c>
      <c r="S85" s="1">
        <v>40</v>
      </c>
    </row>
    <row r="86" spans="1:19" ht="13.5" customHeight="1">
      <c r="A86" s="6">
        <v>4.1693332676940598</v>
      </c>
      <c r="B86" s="2">
        <f>100+273.15</f>
        <v>373.15</v>
      </c>
      <c r="C86" t="s">
        <v>24</v>
      </c>
      <c r="D86" s="1">
        <v>6.0000000000000001E-3</v>
      </c>
      <c r="E86" t="s">
        <v>55</v>
      </c>
      <c r="F86" s="1">
        <v>0</v>
      </c>
      <c r="G86" t="s">
        <v>52</v>
      </c>
      <c r="H86" s="1">
        <v>6.2E-2</v>
      </c>
      <c r="I86" t="s">
        <v>27</v>
      </c>
      <c r="J86" s="1">
        <v>0</v>
      </c>
      <c r="K86" s="1">
        <v>0.52</v>
      </c>
      <c r="L86" s="1">
        <v>0.56999999999999995</v>
      </c>
      <c r="M86" s="1">
        <v>1.76</v>
      </c>
      <c r="N86" s="3">
        <v>0</v>
      </c>
      <c r="O86" s="1">
        <v>0</v>
      </c>
      <c r="P86" s="4">
        <f t="shared" si="27"/>
        <v>1.76</v>
      </c>
      <c r="Q86" s="1">
        <v>2.15</v>
      </c>
      <c r="R86" s="1">
        <v>5</v>
      </c>
      <c r="S86" s="1">
        <v>18</v>
      </c>
    </row>
    <row r="87" spans="1:19" ht="13.5" customHeight="1">
      <c r="A87" s="6">
        <v>3.9363235589561998</v>
      </c>
      <c r="B87" s="2">
        <f>170+273.15</f>
        <v>443.15</v>
      </c>
      <c r="C87" t="s">
        <v>24</v>
      </c>
      <c r="D87" s="1">
        <v>3.7999999999999999E-2</v>
      </c>
      <c r="E87" t="s">
        <v>55</v>
      </c>
      <c r="F87" s="1">
        <v>0</v>
      </c>
      <c r="G87" t="s">
        <v>37</v>
      </c>
      <c r="H87" s="1">
        <v>0.1</v>
      </c>
      <c r="I87" t="s">
        <v>27</v>
      </c>
      <c r="J87" s="1">
        <v>0</v>
      </c>
      <c r="K87" s="1">
        <v>1.82</v>
      </c>
      <c r="L87" s="1">
        <v>1.9</v>
      </c>
      <c r="M87" s="1">
        <v>8</v>
      </c>
      <c r="N87" s="3">
        <v>0</v>
      </c>
      <c r="O87" s="1">
        <v>0</v>
      </c>
      <c r="P87" s="4">
        <f t="shared" si="27"/>
        <v>8</v>
      </c>
      <c r="Q87" s="1">
        <v>2.72</v>
      </c>
      <c r="R87" s="1">
        <f>2</f>
        <v>2</v>
      </c>
      <c r="S87" s="1">
        <v>70</v>
      </c>
    </row>
    <row r="88" spans="1:19" ht="13.5" customHeight="1">
      <c r="A88" s="6">
        <v>4.1693332676940598</v>
      </c>
      <c r="B88" s="2">
        <f>180+273.15</f>
        <v>453.15</v>
      </c>
      <c r="C88" t="s">
        <v>24</v>
      </c>
      <c r="D88" s="1">
        <v>3.7999999999999999E-2</v>
      </c>
      <c r="E88" t="s">
        <v>55</v>
      </c>
      <c r="F88" s="1">
        <v>0</v>
      </c>
      <c r="G88" t="s">
        <v>52</v>
      </c>
      <c r="H88" s="1">
        <v>0.10150000000000001</v>
      </c>
      <c r="I88" t="s">
        <v>27</v>
      </c>
      <c r="J88" s="1">
        <v>0</v>
      </c>
      <c r="K88" s="1">
        <v>2.13</v>
      </c>
      <c r="L88" s="1">
        <v>2.2200000000000002</v>
      </c>
      <c r="M88" s="1">
        <v>8</v>
      </c>
      <c r="N88">
        <v>0</v>
      </c>
      <c r="O88" s="1">
        <v>0</v>
      </c>
      <c r="P88" s="4">
        <f t="shared" si="27"/>
        <v>8</v>
      </c>
      <c r="Q88" s="1">
        <v>1.97</v>
      </c>
      <c r="R88" s="1">
        <v>2</v>
      </c>
      <c r="S88" s="1">
        <v>90</v>
      </c>
    </row>
    <row r="89" spans="1:19" ht="13.5" customHeight="1">
      <c r="A89" s="8">
        <v>3.9363235589561998</v>
      </c>
      <c r="B89" s="2">
        <f>120+273.15</f>
        <v>393.15</v>
      </c>
      <c r="C89" t="s">
        <v>19</v>
      </c>
      <c r="D89" s="1">
        <v>0.71</v>
      </c>
      <c r="E89" t="s">
        <v>55</v>
      </c>
      <c r="F89" s="1">
        <v>0</v>
      </c>
      <c r="G89" s="16" t="s">
        <v>29</v>
      </c>
      <c r="H89" s="1">
        <v>1</v>
      </c>
      <c r="I89" s="17" t="s">
        <v>30</v>
      </c>
      <c r="J89" s="1">
        <v>8.42</v>
      </c>
      <c r="K89" s="1">
        <v>5.77</v>
      </c>
      <c r="L89" s="1">
        <v>8.8699999999999992</v>
      </c>
      <c r="M89" s="1">
        <v>11</v>
      </c>
      <c r="N89">
        <v>0</v>
      </c>
      <c r="O89" s="1">
        <v>0</v>
      </c>
      <c r="P89" s="4">
        <f t="shared" si="27"/>
        <v>11</v>
      </c>
      <c r="Q89" s="1">
        <v>2.74</v>
      </c>
      <c r="R89" s="1">
        <f>10/60</f>
        <v>0.16666666666666666</v>
      </c>
      <c r="S89" s="1">
        <v>3</v>
      </c>
    </row>
    <row r="90" spans="1:19" ht="13.5" customHeight="1">
      <c r="A90" s="18">
        <v>4.3101615237850002</v>
      </c>
      <c r="B90" s="2">
        <f t="shared" ref="B90:B91" si="35">180+273.15</f>
        <v>453.15</v>
      </c>
      <c r="C90" t="s">
        <v>24</v>
      </c>
      <c r="D90" s="1">
        <v>0.03</v>
      </c>
      <c r="E90" t="s">
        <v>55</v>
      </c>
      <c r="F90" s="1">
        <v>0</v>
      </c>
      <c r="G90" s="19" t="s">
        <v>57</v>
      </c>
      <c r="H90" s="1">
        <v>0.1</v>
      </c>
      <c r="I90" t="s">
        <v>27</v>
      </c>
      <c r="J90" s="1">
        <v>0</v>
      </c>
      <c r="K90" s="1">
        <v>1.222</v>
      </c>
      <c r="L90" s="1">
        <v>3.17</v>
      </c>
      <c r="M90" s="1">
        <f t="shared" ref="M90:M91" si="36">10+0.27</f>
        <v>10.27</v>
      </c>
      <c r="N90" t="s">
        <v>60</v>
      </c>
      <c r="O90" s="1">
        <v>0.03</v>
      </c>
      <c r="P90" s="4">
        <f t="shared" si="27"/>
        <v>10.299999999999999</v>
      </c>
      <c r="Q90" s="1">
        <v>2.76</v>
      </c>
      <c r="R90" s="1">
        <f>30/60</f>
        <v>0.5</v>
      </c>
      <c r="S90" s="1">
        <v>25</v>
      </c>
    </row>
    <row r="91" spans="1:19" ht="13.5" customHeight="1">
      <c r="A91" s="18">
        <v>4.3101615237850002</v>
      </c>
      <c r="B91" s="2">
        <f t="shared" si="35"/>
        <v>453.15</v>
      </c>
      <c r="C91" t="s">
        <v>24</v>
      </c>
      <c r="D91" s="1">
        <v>0.03</v>
      </c>
      <c r="E91" t="s">
        <v>55</v>
      </c>
      <c r="F91" s="1">
        <v>0</v>
      </c>
      <c r="G91" s="19" t="s">
        <v>57</v>
      </c>
      <c r="H91" s="1">
        <v>0.1</v>
      </c>
      <c r="I91" t="s">
        <v>27</v>
      </c>
      <c r="J91" s="1">
        <v>0</v>
      </c>
      <c r="K91" s="1">
        <v>1.22</v>
      </c>
      <c r="L91" s="1">
        <v>3.17</v>
      </c>
      <c r="M91" s="1">
        <f t="shared" si="36"/>
        <v>10.27</v>
      </c>
      <c r="N91" t="s">
        <v>60</v>
      </c>
      <c r="O91" s="1">
        <v>0.03</v>
      </c>
      <c r="P91" s="4">
        <f t="shared" si="27"/>
        <v>10.299999999999999</v>
      </c>
      <c r="Q91" s="1">
        <v>2.76</v>
      </c>
      <c r="R91" s="1">
        <f>60/60</f>
        <v>1</v>
      </c>
      <c r="S91" s="1">
        <v>25</v>
      </c>
    </row>
    <row r="92" spans="1:19" ht="13.5" customHeight="1">
      <c r="A92" s="1">
        <v>4.1127931027323701</v>
      </c>
      <c r="B92" s="2">
        <f t="shared" ref="B92:B97" si="37">100+273.15</f>
        <v>373.15</v>
      </c>
      <c r="C92" t="s">
        <v>19</v>
      </c>
      <c r="D92" s="1">
        <v>7.4999999999999997E-2</v>
      </c>
      <c r="E92" t="s">
        <v>55</v>
      </c>
      <c r="F92" s="1">
        <v>0</v>
      </c>
      <c r="G92" t="s">
        <v>21</v>
      </c>
      <c r="H92" s="1">
        <v>0.05</v>
      </c>
      <c r="I92" t="s">
        <v>22</v>
      </c>
      <c r="J92" s="1">
        <v>0.22500000000000001</v>
      </c>
      <c r="K92" s="1">
        <v>0</v>
      </c>
      <c r="L92" s="1">
        <v>1.58</v>
      </c>
      <c r="M92" s="1">
        <v>5</v>
      </c>
      <c r="N92">
        <v>0</v>
      </c>
      <c r="O92" s="1">
        <v>0</v>
      </c>
      <c r="P92" s="4">
        <f t="shared" si="27"/>
        <v>5</v>
      </c>
      <c r="Q92" s="1">
        <v>3.15</v>
      </c>
      <c r="R92" s="1">
        <f t="shared" ref="R92:R97" si="38">10/60</f>
        <v>0.16666666666666666</v>
      </c>
      <c r="S92" s="1">
        <v>1.7</v>
      </c>
    </row>
    <row r="93" spans="1:19" ht="13.5" customHeight="1">
      <c r="A93" s="1">
        <v>4.3101615237850002</v>
      </c>
      <c r="B93" s="2">
        <f t="shared" si="37"/>
        <v>373.15</v>
      </c>
      <c r="C93" t="s">
        <v>19</v>
      </c>
      <c r="D93" s="1">
        <v>7.4999999999999997E-2</v>
      </c>
      <c r="E93" t="s">
        <v>55</v>
      </c>
      <c r="F93" s="1">
        <v>0</v>
      </c>
      <c r="G93" t="s">
        <v>21</v>
      </c>
      <c r="H93" s="1">
        <v>0.05</v>
      </c>
      <c r="I93" t="s">
        <v>36</v>
      </c>
      <c r="J93" s="1">
        <v>0.22500000000000001</v>
      </c>
      <c r="K93" s="1">
        <v>0</v>
      </c>
      <c r="L93" s="1">
        <v>1.58</v>
      </c>
      <c r="M93" s="1">
        <v>5</v>
      </c>
      <c r="N93">
        <v>0</v>
      </c>
      <c r="O93" s="1">
        <v>0</v>
      </c>
      <c r="P93" s="4">
        <f t="shared" si="27"/>
        <v>5</v>
      </c>
      <c r="Q93" s="1">
        <v>2.5299999999999998</v>
      </c>
      <c r="R93" s="1">
        <f t="shared" si="38"/>
        <v>0.16666666666666666</v>
      </c>
      <c r="S93" s="1">
        <v>2.8</v>
      </c>
    </row>
    <row r="94" spans="1:19" ht="13.5" customHeight="1">
      <c r="A94" s="1">
        <v>4.6259509974692099</v>
      </c>
      <c r="B94" s="2">
        <f t="shared" si="37"/>
        <v>373.15</v>
      </c>
      <c r="C94" t="s">
        <v>19</v>
      </c>
      <c r="D94" s="1">
        <v>7.4999999999999997E-2</v>
      </c>
      <c r="E94" t="s">
        <v>55</v>
      </c>
      <c r="F94" s="1">
        <v>0</v>
      </c>
      <c r="G94" t="s">
        <v>21</v>
      </c>
      <c r="H94" s="1">
        <v>0.05</v>
      </c>
      <c r="I94" s="20" t="s">
        <v>59</v>
      </c>
      <c r="J94" s="1">
        <v>0.22500000000000001</v>
      </c>
      <c r="K94" s="1">
        <v>0</v>
      </c>
      <c r="L94" s="1">
        <v>1.58</v>
      </c>
      <c r="M94" s="1">
        <v>5</v>
      </c>
      <c r="N94">
        <v>0</v>
      </c>
      <c r="O94" s="1">
        <v>0</v>
      </c>
      <c r="P94" s="4">
        <f t="shared" si="27"/>
        <v>5</v>
      </c>
      <c r="Q94" s="1">
        <v>1.97</v>
      </c>
      <c r="R94" s="1">
        <f t="shared" si="38"/>
        <v>0.16666666666666666</v>
      </c>
      <c r="S94" s="1">
        <v>2.2999999999999998</v>
      </c>
    </row>
    <row r="95" spans="1:19" ht="13.5" customHeight="1">
      <c r="A95" s="1">
        <v>3.7906924909950299</v>
      </c>
      <c r="B95" s="2">
        <f t="shared" si="37"/>
        <v>373.15</v>
      </c>
      <c r="C95" t="s">
        <v>19</v>
      </c>
      <c r="D95" s="1">
        <v>7.4999999999999997E-2</v>
      </c>
      <c r="E95" t="s">
        <v>55</v>
      </c>
      <c r="F95" s="1">
        <v>0</v>
      </c>
      <c r="G95" t="s">
        <v>35</v>
      </c>
      <c r="H95" s="1">
        <v>0.05</v>
      </c>
      <c r="I95" t="s">
        <v>22</v>
      </c>
      <c r="J95" s="1">
        <v>0.22500000000000001</v>
      </c>
      <c r="K95" s="1">
        <v>0</v>
      </c>
      <c r="L95" s="1">
        <v>1.58</v>
      </c>
      <c r="M95" s="1">
        <v>5</v>
      </c>
      <c r="N95">
        <v>0</v>
      </c>
      <c r="O95" s="1">
        <v>0</v>
      </c>
      <c r="P95" s="4">
        <f t="shared" si="27"/>
        <v>5</v>
      </c>
      <c r="Q95" s="1">
        <v>3.09</v>
      </c>
      <c r="R95" s="1">
        <f t="shared" si="38"/>
        <v>0.16666666666666666</v>
      </c>
      <c r="S95" s="1">
        <v>2.9</v>
      </c>
    </row>
    <row r="96" spans="1:19" ht="13.5" customHeight="1">
      <c r="A96" s="1">
        <v>3.9363235589561998</v>
      </c>
      <c r="B96" s="2">
        <f t="shared" si="37"/>
        <v>373.15</v>
      </c>
      <c r="C96" t="s">
        <v>19</v>
      </c>
      <c r="D96" s="1">
        <v>7.4999999999999997E-2</v>
      </c>
      <c r="E96" t="s">
        <v>55</v>
      </c>
      <c r="F96" s="1">
        <v>0</v>
      </c>
      <c r="G96" t="s">
        <v>35</v>
      </c>
      <c r="H96" s="1">
        <v>0.05</v>
      </c>
      <c r="I96" t="s">
        <v>36</v>
      </c>
      <c r="J96" s="1">
        <v>0.22500000000000001</v>
      </c>
      <c r="K96" s="1">
        <v>0</v>
      </c>
      <c r="L96" s="1">
        <v>1.58</v>
      </c>
      <c r="M96" s="1">
        <v>5</v>
      </c>
      <c r="N96">
        <v>0</v>
      </c>
      <c r="O96" s="1">
        <v>0</v>
      </c>
      <c r="P96" s="4">
        <f t="shared" si="27"/>
        <v>5</v>
      </c>
      <c r="Q96" s="1">
        <v>2.64</v>
      </c>
      <c r="R96" s="1">
        <f t="shared" si="38"/>
        <v>0.16666666666666666</v>
      </c>
      <c r="S96" s="1">
        <v>3.8</v>
      </c>
    </row>
    <row r="97" spans="1:19" ht="13.5" customHeight="1">
      <c r="A97" s="1">
        <v>4.1693332676940598</v>
      </c>
      <c r="B97" s="2">
        <f t="shared" si="37"/>
        <v>373.15</v>
      </c>
      <c r="C97" t="s">
        <v>19</v>
      </c>
      <c r="D97" s="1">
        <v>7.4999999999999997E-2</v>
      </c>
      <c r="E97" t="s">
        <v>55</v>
      </c>
      <c r="F97" s="1">
        <v>0</v>
      </c>
      <c r="G97" t="s">
        <v>35</v>
      </c>
      <c r="H97" s="1">
        <v>0.05</v>
      </c>
      <c r="I97" s="20" t="s">
        <v>59</v>
      </c>
      <c r="J97" s="1">
        <v>0.22500000000000001</v>
      </c>
      <c r="K97" s="1">
        <v>0</v>
      </c>
      <c r="L97" s="1">
        <v>1.58</v>
      </c>
      <c r="M97" s="1">
        <v>5</v>
      </c>
      <c r="N97">
        <v>0</v>
      </c>
      <c r="O97" s="1">
        <v>0</v>
      </c>
      <c r="P97" s="4">
        <f t="shared" si="27"/>
        <v>5</v>
      </c>
      <c r="Q97" s="1">
        <v>2.0499999999999998</v>
      </c>
      <c r="R97" s="1">
        <f t="shared" si="38"/>
        <v>0.16666666666666666</v>
      </c>
      <c r="S97" s="1">
        <v>2.2999999999999998</v>
      </c>
    </row>
    <row r="98" spans="1:19" ht="13.5" customHeight="1">
      <c r="A98" s="18">
        <v>4.3101615237850002</v>
      </c>
      <c r="B98" s="2">
        <f>180+273.15</f>
        <v>453.15</v>
      </c>
      <c r="C98" t="s">
        <v>24</v>
      </c>
      <c r="D98" s="1">
        <v>0.03</v>
      </c>
      <c r="E98" t="s">
        <v>55</v>
      </c>
      <c r="F98" s="1">
        <v>0</v>
      </c>
      <c r="G98" s="19" t="s">
        <v>57</v>
      </c>
      <c r="H98" s="1">
        <v>0.1</v>
      </c>
      <c r="I98" t="s">
        <v>27</v>
      </c>
      <c r="J98" s="1">
        <v>0</v>
      </c>
      <c r="K98" s="1">
        <v>1.22</v>
      </c>
      <c r="L98" s="1">
        <v>3.17</v>
      </c>
      <c r="M98" s="1">
        <f>10+0.27</f>
        <v>10.27</v>
      </c>
      <c r="N98" t="s">
        <v>60</v>
      </c>
      <c r="O98" s="1">
        <v>0.03</v>
      </c>
      <c r="P98" s="4">
        <f t="shared" si="27"/>
        <v>10.299999999999999</v>
      </c>
      <c r="Q98" s="1">
        <v>2.76</v>
      </c>
      <c r="R98" s="1">
        <f>300/60</f>
        <v>5</v>
      </c>
      <c r="S98" s="1">
        <v>100</v>
      </c>
    </row>
    <row r="99" spans="1:19" ht="13.5" customHeight="1">
      <c r="A99" s="6">
        <v>3.7906924909950299</v>
      </c>
      <c r="B99" s="2">
        <f>160+273.15</f>
        <v>433.15</v>
      </c>
      <c r="C99" t="s">
        <v>19</v>
      </c>
      <c r="D99" s="1">
        <v>1</v>
      </c>
      <c r="E99" t="s">
        <v>55</v>
      </c>
      <c r="F99" s="1">
        <v>0</v>
      </c>
      <c r="G99" t="s">
        <v>35</v>
      </c>
      <c r="H99" s="1">
        <v>0.5</v>
      </c>
      <c r="I99" t="s">
        <v>22</v>
      </c>
      <c r="J99" s="1">
        <v>3</v>
      </c>
      <c r="K99" s="1">
        <v>7.48</v>
      </c>
      <c r="L99" s="1">
        <v>7.08</v>
      </c>
      <c r="M99" s="1">
        <v>10.14</v>
      </c>
      <c r="N99">
        <v>0</v>
      </c>
      <c r="O99" s="1">
        <v>0</v>
      </c>
      <c r="P99" s="4">
        <f t="shared" si="27"/>
        <v>10.14</v>
      </c>
      <c r="Q99" s="1">
        <v>3.65</v>
      </c>
      <c r="R99" s="1">
        <f>15/60</f>
        <v>0.25</v>
      </c>
      <c r="S99" s="1">
        <v>14.2</v>
      </c>
    </row>
    <row r="100" spans="1:19" ht="13.5" customHeight="1">
      <c r="A100" s="6">
        <v>3.78933759529966</v>
      </c>
      <c r="B100" s="2">
        <f t="shared" ref="B100:B101" si="39">140+273.15</f>
        <v>413.15</v>
      </c>
      <c r="C100" t="s">
        <v>24</v>
      </c>
      <c r="D100" s="1">
        <v>0.11799999999999999</v>
      </c>
      <c r="E100" t="s">
        <v>55</v>
      </c>
      <c r="F100" s="1">
        <v>0</v>
      </c>
      <c r="G100" t="s">
        <v>61</v>
      </c>
      <c r="H100" s="1">
        <v>0.4</v>
      </c>
      <c r="I100" t="s">
        <v>27</v>
      </c>
      <c r="J100" s="1">
        <v>0</v>
      </c>
      <c r="K100" s="1">
        <v>6.08</v>
      </c>
      <c r="L100" s="1">
        <v>6.72</v>
      </c>
      <c r="M100" s="1">
        <v>21.88</v>
      </c>
      <c r="N100">
        <v>0</v>
      </c>
      <c r="O100" s="1">
        <v>0</v>
      </c>
      <c r="P100" s="4">
        <f t="shared" si="27"/>
        <v>21.88</v>
      </c>
      <c r="Q100" s="1">
        <v>2.4</v>
      </c>
      <c r="R100" s="1">
        <f t="shared" ref="R100:R101" si="40">10/60</f>
        <v>0.16666666666666666</v>
      </c>
      <c r="S100" s="1">
        <v>12.19</v>
      </c>
    </row>
    <row r="101" spans="1:19" ht="13.5" customHeight="1">
      <c r="A101" s="6">
        <v>4.2004188215719198</v>
      </c>
      <c r="B101" s="2">
        <f t="shared" si="39"/>
        <v>413.15</v>
      </c>
      <c r="C101" t="s">
        <v>24</v>
      </c>
      <c r="D101" s="1">
        <v>4.9969999999999999</v>
      </c>
      <c r="E101" t="s">
        <v>55</v>
      </c>
      <c r="F101" s="1">
        <v>0</v>
      </c>
      <c r="G101" t="s">
        <v>62</v>
      </c>
      <c r="H101" s="1">
        <v>0.2</v>
      </c>
      <c r="I101" t="s">
        <v>27</v>
      </c>
      <c r="J101" s="1">
        <v>0</v>
      </c>
      <c r="K101" s="1">
        <v>1.52</v>
      </c>
      <c r="L101" s="1">
        <v>17.420000000000002</v>
      </c>
      <c r="M101" s="1">
        <v>25</v>
      </c>
      <c r="N101">
        <v>0</v>
      </c>
      <c r="O101" s="1">
        <v>0</v>
      </c>
      <c r="P101" s="4">
        <f t="shared" si="27"/>
        <v>25</v>
      </c>
      <c r="Q101" s="1">
        <v>3.08</v>
      </c>
      <c r="R101" s="1">
        <f t="shared" si="40"/>
        <v>0.16666666666666666</v>
      </c>
      <c r="S101" s="1">
        <v>20.5</v>
      </c>
    </row>
    <row r="102" spans="1:19" ht="13.5" customHeight="1">
      <c r="A102" s="6">
        <v>4.5588689403428502</v>
      </c>
      <c r="B102" s="2">
        <f>180+273.15</f>
        <v>453.15</v>
      </c>
      <c r="C102" t="s">
        <v>24</v>
      </c>
      <c r="D102" s="1">
        <v>4.7100000000000003E-2</v>
      </c>
      <c r="E102" t="s">
        <v>55</v>
      </c>
      <c r="F102" s="1">
        <v>0</v>
      </c>
      <c r="G102" t="s">
        <v>63</v>
      </c>
      <c r="H102" s="1">
        <v>0.68</v>
      </c>
      <c r="I102" t="s">
        <v>27</v>
      </c>
      <c r="J102" s="1">
        <v>0</v>
      </c>
      <c r="K102" s="1">
        <v>1.82</v>
      </c>
      <c r="L102" s="1">
        <v>2.06</v>
      </c>
      <c r="M102" s="1">
        <v>10.75</v>
      </c>
      <c r="N102">
        <v>0</v>
      </c>
      <c r="O102" s="1">
        <v>0</v>
      </c>
      <c r="P102" s="4">
        <f t="shared" si="27"/>
        <v>10.75</v>
      </c>
      <c r="Q102" s="1">
        <v>3.78</v>
      </c>
      <c r="R102" s="1">
        <v>1</v>
      </c>
      <c r="S102" s="1">
        <v>58</v>
      </c>
    </row>
    <row r="103" spans="1:19" ht="13.5" customHeight="1">
      <c r="A103" s="6">
        <v>4.3414776359950196</v>
      </c>
      <c r="B103" s="2">
        <f t="shared" ref="B103:B106" si="41">220+273.15</f>
        <v>493.15</v>
      </c>
      <c r="C103" t="s">
        <v>24</v>
      </c>
      <c r="D103" s="1">
        <v>0.16</v>
      </c>
      <c r="E103" t="s">
        <v>55</v>
      </c>
      <c r="F103" s="1">
        <v>0</v>
      </c>
      <c r="G103" t="s">
        <v>64</v>
      </c>
      <c r="H103" s="1">
        <v>0.36</v>
      </c>
      <c r="I103" t="s">
        <v>27</v>
      </c>
      <c r="J103" s="1">
        <v>0</v>
      </c>
      <c r="K103" s="1">
        <v>3.04</v>
      </c>
      <c r="L103" s="1">
        <v>3.67</v>
      </c>
      <c r="M103" s="1">
        <v>14.64</v>
      </c>
      <c r="N103">
        <v>0</v>
      </c>
      <c r="O103" s="1">
        <v>0</v>
      </c>
      <c r="P103" s="4">
        <f t="shared" si="27"/>
        <v>14.64</v>
      </c>
      <c r="Q103" s="1">
        <v>4.12</v>
      </c>
      <c r="R103" s="1">
        <v>2</v>
      </c>
      <c r="S103" s="1">
        <v>14.25</v>
      </c>
    </row>
    <row r="104" spans="1:19" ht="13.5" customHeight="1">
      <c r="A104" s="6">
        <v>4.5588689403428502</v>
      </c>
      <c r="B104" s="2">
        <f t="shared" si="41"/>
        <v>493.15</v>
      </c>
      <c r="C104" t="s">
        <v>24</v>
      </c>
      <c r="D104" s="1">
        <v>0.05</v>
      </c>
      <c r="E104" t="s">
        <v>55</v>
      </c>
      <c r="F104" s="1">
        <v>0</v>
      </c>
      <c r="G104" t="s">
        <v>63</v>
      </c>
      <c r="H104" s="1">
        <v>0.23499999999999999</v>
      </c>
      <c r="I104" t="s">
        <v>27</v>
      </c>
      <c r="J104" s="1">
        <v>0</v>
      </c>
      <c r="K104" s="1">
        <v>0.61</v>
      </c>
      <c r="L104" s="1">
        <v>0.79</v>
      </c>
      <c r="M104" s="1">
        <v>5.45</v>
      </c>
      <c r="N104">
        <v>0</v>
      </c>
      <c r="O104" s="1">
        <v>0</v>
      </c>
      <c r="P104" s="4">
        <f t="shared" si="27"/>
        <v>5.45</v>
      </c>
      <c r="Q104" s="1">
        <v>3.33</v>
      </c>
      <c r="R104" s="1">
        <v>1</v>
      </c>
      <c r="S104" s="1">
        <v>3</v>
      </c>
    </row>
    <row r="105" spans="1:19" ht="13.5" customHeight="1">
      <c r="A105" s="6">
        <v>4.9066950272993699</v>
      </c>
      <c r="B105" s="2">
        <f t="shared" si="41"/>
        <v>493.15</v>
      </c>
      <c r="C105" t="s">
        <v>24</v>
      </c>
      <c r="D105" s="1">
        <v>0.05</v>
      </c>
      <c r="E105" t="s">
        <v>55</v>
      </c>
      <c r="F105" s="1">
        <v>0</v>
      </c>
      <c r="G105" t="s">
        <v>65</v>
      </c>
      <c r="H105" s="1">
        <v>0.23499999999999999</v>
      </c>
      <c r="I105" t="s">
        <v>27</v>
      </c>
      <c r="J105" s="1">
        <v>0</v>
      </c>
      <c r="K105" s="1">
        <v>0.61</v>
      </c>
      <c r="L105" s="1">
        <v>0.79</v>
      </c>
      <c r="M105" s="1">
        <v>5.45</v>
      </c>
      <c r="N105">
        <v>0</v>
      </c>
      <c r="O105" s="1">
        <v>0</v>
      </c>
      <c r="P105" s="4">
        <f t="shared" si="27"/>
        <v>5.45</v>
      </c>
      <c r="Q105" s="1">
        <v>1.57</v>
      </c>
      <c r="R105" s="1">
        <v>1</v>
      </c>
      <c r="S105" s="1">
        <v>3</v>
      </c>
    </row>
    <row r="106" spans="1:19" ht="13.5" customHeight="1">
      <c r="A106" s="6">
        <v>4.9066950272993699</v>
      </c>
      <c r="B106" s="2">
        <f t="shared" si="41"/>
        <v>493.15</v>
      </c>
      <c r="C106" t="s">
        <v>24</v>
      </c>
      <c r="D106" s="1">
        <v>0.05</v>
      </c>
      <c r="E106" t="s">
        <v>55</v>
      </c>
      <c r="F106" s="1">
        <v>0</v>
      </c>
      <c r="G106" t="s">
        <v>65</v>
      </c>
      <c r="H106" s="1">
        <v>0.23499999999999999</v>
      </c>
      <c r="I106" t="s">
        <v>27</v>
      </c>
      <c r="J106" s="1">
        <v>0</v>
      </c>
      <c r="K106" s="1">
        <v>1.51</v>
      </c>
      <c r="L106" s="1">
        <v>0.79</v>
      </c>
      <c r="M106" s="1">
        <v>5.45</v>
      </c>
      <c r="N106">
        <v>0</v>
      </c>
      <c r="O106" s="1">
        <v>0</v>
      </c>
      <c r="P106" s="4">
        <f t="shared" si="27"/>
        <v>5.45</v>
      </c>
      <c r="Q106" s="1">
        <v>2.39</v>
      </c>
      <c r="R106" s="1">
        <v>1</v>
      </c>
      <c r="S106" s="1">
        <v>10</v>
      </c>
    </row>
    <row r="107" spans="1:19" ht="13.5" customHeight="1">
      <c r="A107" s="6">
        <v>4.18719838021575</v>
      </c>
      <c r="B107" s="2">
        <f>140+273.15</f>
        <v>413.15</v>
      </c>
      <c r="C107" t="s">
        <v>66</v>
      </c>
      <c r="D107" s="1">
        <v>8.7999999999999995E-2</v>
      </c>
      <c r="E107" t="s">
        <v>55</v>
      </c>
      <c r="F107" s="1">
        <v>0</v>
      </c>
      <c r="G107" t="s">
        <v>51</v>
      </c>
      <c r="H107" s="1">
        <v>0.39500000000000002</v>
      </c>
      <c r="I107" t="s">
        <v>27</v>
      </c>
      <c r="J107" s="1">
        <v>0</v>
      </c>
      <c r="K107" s="1">
        <v>3.04</v>
      </c>
      <c r="L107" s="1">
        <v>3.45</v>
      </c>
      <c r="M107" s="1">
        <v>10.71</v>
      </c>
      <c r="N107">
        <v>0</v>
      </c>
      <c r="O107" s="1">
        <v>0</v>
      </c>
      <c r="P107" s="4">
        <f t="shared" si="27"/>
        <v>10.71</v>
      </c>
      <c r="Q107" s="1">
        <v>3.78</v>
      </c>
      <c r="R107" s="1">
        <f t="shared" ref="R107:R109" si="42">30/60</f>
        <v>0.5</v>
      </c>
      <c r="S107" s="1">
        <v>15.3</v>
      </c>
    </row>
    <row r="108" spans="1:19" ht="13.5" customHeight="1">
      <c r="A108" s="6">
        <v>4.18719838021575</v>
      </c>
      <c r="B108" s="2">
        <f>160+273.15</f>
        <v>433.15</v>
      </c>
      <c r="C108" t="s">
        <v>66</v>
      </c>
      <c r="D108" s="1">
        <v>8.7999999999999995E-2</v>
      </c>
      <c r="E108" t="s">
        <v>55</v>
      </c>
      <c r="F108" s="1">
        <v>0</v>
      </c>
      <c r="G108" t="s">
        <v>51</v>
      </c>
      <c r="H108" s="1">
        <v>0.39500000000000002</v>
      </c>
      <c r="I108" t="s">
        <v>27</v>
      </c>
      <c r="J108" s="1">
        <v>0</v>
      </c>
      <c r="K108" s="1">
        <v>3.04</v>
      </c>
      <c r="L108" s="1">
        <v>3.45</v>
      </c>
      <c r="M108" s="1">
        <v>10.71</v>
      </c>
      <c r="N108">
        <v>0</v>
      </c>
      <c r="O108" s="1">
        <v>0</v>
      </c>
      <c r="P108" s="4">
        <f t="shared" si="27"/>
        <v>10.71</v>
      </c>
      <c r="Q108" s="1">
        <v>3.78</v>
      </c>
      <c r="R108" s="1">
        <f t="shared" si="42"/>
        <v>0.5</v>
      </c>
      <c r="S108" s="1">
        <v>15.8</v>
      </c>
    </row>
    <row r="109" spans="1:19" ht="13.5" customHeight="1">
      <c r="A109" s="6">
        <v>4.18719838021575</v>
      </c>
      <c r="B109" s="2">
        <f>180+273.15</f>
        <v>453.15</v>
      </c>
      <c r="C109" t="s">
        <v>66</v>
      </c>
      <c r="D109" s="1">
        <v>8.7999999999999995E-2</v>
      </c>
      <c r="E109" t="s">
        <v>55</v>
      </c>
      <c r="F109" s="1">
        <v>0</v>
      </c>
      <c r="G109" t="s">
        <v>51</v>
      </c>
      <c r="H109" s="1">
        <v>0.39500000000000002</v>
      </c>
      <c r="I109" t="s">
        <v>27</v>
      </c>
      <c r="J109" s="1">
        <v>0</v>
      </c>
      <c r="K109" s="1">
        <v>3.04</v>
      </c>
      <c r="L109" s="1">
        <v>3.45</v>
      </c>
      <c r="M109" s="1">
        <v>10.71</v>
      </c>
      <c r="N109">
        <v>0</v>
      </c>
      <c r="O109" s="1">
        <v>0</v>
      </c>
      <c r="P109" s="4">
        <f t="shared" si="27"/>
        <v>10.71</v>
      </c>
      <c r="Q109" s="1">
        <v>3.78</v>
      </c>
      <c r="R109" s="1">
        <f t="shared" si="42"/>
        <v>0.5</v>
      </c>
      <c r="S109" s="1">
        <v>16.2</v>
      </c>
    </row>
    <row r="110" spans="1:19" ht="13.5" customHeight="1">
      <c r="A110" s="6">
        <v>4.9066950272993699</v>
      </c>
      <c r="B110" s="2">
        <f>210+273.15</f>
        <v>483.15</v>
      </c>
      <c r="C110" t="s">
        <v>24</v>
      </c>
      <c r="D110" s="1">
        <v>4.2999999999999997E-2</v>
      </c>
      <c r="E110" t="s">
        <v>55</v>
      </c>
      <c r="F110" s="1">
        <v>0</v>
      </c>
      <c r="G110" t="s">
        <v>65</v>
      </c>
      <c r="H110" s="1">
        <v>0.19</v>
      </c>
      <c r="I110" t="s">
        <v>27</v>
      </c>
      <c r="J110" s="1">
        <v>0</v>
      </c>
      <c r="K110" s="1">
        <v>0</v>
      </c>
      <c r="L110" s="1">
        <v>1.74</v>
      </c>
      <c r="M110" s="1">
        <v>8.35</v>
      </c>
      <c r="N110">
        <v>0</v>
      </c>
      <c r="O110" s="1">
        <v>0</v>
      </c>
      <c r="P110" s="4">
        <f t="shared" si="27"/>
        <v>8.35</v>
      </c>
      <c r="Q110" s="1">
        <v>1.92</v>
      </c>
      <c r="R110" s="1">
        <v>1</v>
      </c>
      <c r="S110" s="1">
        <v>12.5</v>
      </c>
    </row>
    <row r="111" spans="1:19" ht="13.5" customHeight="1">
      <c r="A111" s="1">
        <v>4.9066950272993699</v>
      </c>
      <c r="B111" s="2">
        <f>220+273.15</f>
        <v>493.15</v>
      </c>
      <c r="C111" t="s">
        <v>24</v>
      </c>
      <c r="D111" s="1">
        <v>4.8000000000000001E-2</v>
      </c>
      <c r="E111" t="s">
        <v>55</v>
      </c>
      <c r="F111" s="1">
        <v>0</v>
      </c>
      <c r="G111" t="s">
        <v>65</v>
      </c>
      <c r="H111" s="1">
        <v>0.23499999999999999</v>
      </c>
      <c r="I111" t="s">
        <v>27</v>
      </c>
      <c r="J111" s="1">
        <v>0</v>
      </c>
      <c r="K111" s="1">
        <v>0.61</v>
      </c>
      <c r="L111" s="1">
        <v>0.79</v>
      </c>
      <c r="M111" s="1">
        <v>6.45</v>
      </c>
      <c r="N111">
        <v>0</v>
      </c>
      <c r="O111" s="1">
        <v>0</v>
      </c>
      <c r="P111" s="4">
        <f t="shared" si="27"/>
        <v>6.45</v>
      </c>
      <c r="Q111" s="1">
        <v>1</v>
      </c>
      <c r="R111" s="1">
        <v>1</v>
      </c>
      <c r="S111" s="1">
        <v>20</v>
      </c>
    </row>
    <row r="112" spans="1:19" ht="13.5" customHeight="1">
      <c r="A112" s="1">
        <v>4.0129188215719198</v>
      </c>
      <c r="B112" s="2">
        <f t="shared" ref="B112:B113" si="43">175+273.15</f>
        <v>448.15</v>
      </c>
      <c r="C112" t="s">
        <v>19</v>
      </c>
      <c r="D112" s="1">
        <v>0.9</v>
      </c>
      <c r="E112" t="s">
        <v>55</v>
      </c>
      <c r="F112" s="1">
        <v>0</v>
      </c>
      <c r="G112" t="s">
        <v>32</v>
      </c>
      <c r="H112" s="1">
        <v>0.45</v>
      </c>
      <c r="I112" t="s">
        <v>22</v>
      </c>
      <c r="J112" s="1">
        <v>3.94</v>
      </c>
      <c r="K112" s="1">
        <v>1.98</v>
      </c>
      <c r="L112" s="1">
        <v>8.8699999999999992</v>
      </c>
      <c r="M112" s="1">
        <v>10</v>
      </c>
      <c r="N112">
        <v>0</v>
      </c>
      <c r="O112" s="1">
        <v>0</v>
      </c>
      <c r="P112" s="4">
        <f t="shared" si="27"/>
        <v>10</v>
      </c>
      <c r="Q112" s="1">
        <v>2.61</v>
      </c>
      <c r="R112" s="1">
        <f t="shared" ref="R112:R113" si="44">1/60</f>
        <v>1.6666666666666666E-2</v>
      </c>
      <c r="S112" s="1">
        <v>14</v>
      </c>
    </row>
    <row r="113" spans="1:19" ht="13.5" customHeight="1">
      <c r="A113" s="6">
        <v>4.0712398080505903</v>
      </c>
      <c r="B113" s="2">
        <f t="shared" si="43"/>
        <v>448.15</v>
      </c>
      <c r="C113" t="s">
        <v>67</v>
      </c>
      <c r="D113" s="1">
        <v>0.9</v>
      </c>
      <c r="E113" t="s">
        <v>55</v>
      </c>
      <c r="F113" s="1">
        <v>0</v>
      </c>
      <c r="G113" t="s">
        <v>32</v>
      </c>
      <c r="H113" s="1">
        <v>0.45</v>
      </c>
      <c r="I113" t="s">
        <v>22</v>
      </c>
      <c r="J113" s="1">
        <v>3.94</v>
      </c>
      <c r="K113" s="1">
        <v>1.98</v>
      </c>
      <c r="L113" s="1">
        <v>8.8699999999999992</v>
      </c>
      <c r="M113" s="1">
        <v>10</v>
      </c>
      <c r="N113">
        <v>0</v>
      </c>
      <c r="O113" s="1">
        <v>0</v>
      </c>
      <c r="P113" s="4">
        <f t="shared" si="27"/>
        <v>10</v>
      </c>
      <c r="Q113" s="1">
        <v>2.61</v>
      </c>
      <c r="R113" s="1">
        <f t="shared" si="44"/>
        <v>1.6666666666666666E-2</v>
      </c>
      <c r="S113" s="1">
        <v>14</v>
      </c>
    </row>
    <row r="114" spans="1:19" ht="13.5" customHeight="1">
      <c r="A114" s="6">
        <v>4.9066950272993699</v>
      </c>
      <c r="B114" s="2">
        <f t="shared" ref="B114:B119" si="45">220+273.15</f>
        <v>493.15</v>
      </c>
      <c r="C114" t="s">
        <v>24</v>
      </c>
      <c r="D114" s="1">
        <v>4.7E-2</v>
      </c>
      <c r="E114" t="s">
        <v>55</v>
      </c>
      <c r="F114" s="1">
        <v>0</v>
      </c>
      <c r="G114" t="s">
        <v>65</v>
      </c>
      <c r="H114" s="1">
        <v>0.23499999999999999</v>
      </c>
      <c r="I114" t="s">
        <v>27</v>
      </c>
      <c r="J114" s="1">
        <v>0</v>
      </c>
      <c r="K114" s="1">
        <v>0.76</v>
      </c>
      <c r="L114" s="1">
        <v>0.79</v>
      </c>
      <c r="M114" s="1">
        <v>6.4</v>
      </c>
      <c r="N114">
        <v>0</v>
      </c>
      <c r="O114" s="1">
        <v>0</v>
      </c>
      <c r="P114" s="4">
        <f t="shared" si="27"/>
        <v>6.4</v>
      </c>
      <c r="Q114" s="1">
        <v>1.67</v>
      </c>
      <c r="R114" s="1">
        <f>15/60</f>
        <v>0.25</v>
      </c>
      <c r="S114" s="1">
        <v>2.86</v>
      </c>
    </row>
    <row r="115" spans="1:19" ht="13.5" customHeight="1">
      <c r="A115" s="6">
        <v>4.9066950272993699</v>
      </c>
      <c r="B115" s="2">
        <f t="shared" si="45"/>
        <v>493.15</v>
      </c>
      <c r="C115" t="s">
        <v>24</v>
      </c>
      <c r="D115" s="1">
        <v>4.7E-2</v>
      </c>
      <c r="E115" t="s">
        <v>55</v>
      </c>
      <c r="F115" s="1">
        <v>0</v>
      </c>
      <c r="G115" t="s">
        <v>65</v>
      </c>
      <c r="H115" s="1">
        <v>0.23499999999999999</v>
      </c>
      <c r="I115" t="s">
        <v>27</v>
      </c>
      <c r="J115" s="1">
        <v>0</v>
      </c>
      <c r="K115" s="1">
        <v>0.76</v>
      </c>
      <c r="L115" s="1">
        <v>0.79</v>
      </c>
      <c r="M115" s="1">
        <v>6.4</v>
      </c>
      <c r="N115">
        <v>0</v>
      </c>
      <c r="O115" s="1">
        <v>0</v>
      </c>
      <c r="P115" s="4">
        <f t="shared" si="27"/>
        <v>6.4</v>
      </c>
      <c r="Q115" s="1">
        <v>1.57</v>
      </c>
      <c r="R115" s="1">
        <v>1</v>
      </c>
      <c r="S115" s="1">
        <v>3.16</v>
      </c>
    </row>
    <row r="116" spans="1:19" ht="13.5" customHeight="1">
      <c r="A116" s="6">
        <v>4.9066950272993699</v>
      </c>
      <c r="B116" s="2">
        <f t="shared" si="45"/>
        <v>493.15</v>
      </c>
      <c r="C116" t="s">
        <v>24</v>
      </c>
      <c r="D116" s="1">
        <v>4.7E-2</v>
      </c>
      <c r="E116" t="s">
        <v>55</v>
      </c>
      <c r="F116" s="1">
        <v>0</v>
      </c>
      <c r="G116" t="s">
        <v>65</v>
      </c>
      <c r="H116" s="1">
        <v>0.23499999999999999</v>
      </c>
      <c r="I116" t="s">
        <v>27</v>
      </c>
      <c r="J116" s="1">
        <v>0</v>
      </c>
      <c r="K116" s="1">
        <v>0.76</v>
      </c>
      <c r="L116" s="1">
        <v>0.79</v>
      </c>
      <c r="M116" s="1">
        <v>6.4</v>
      </c>
      <c r="N116">
        <v>0</v>
      </c>
      <c r="O116" s="1">
        <v>0</v>
      </c>
      <c r="P116" s="4">
        <f t="shared" si="27"/>
        <v>6.4</v>
      </c>
      <c r="Q116" s="1">
        <v>1.58</v>
      </c>
      <c r="R116" s="1">
        <v>2</v>
      </c>
      <c r="S116" s="1">
        <v>3.19</v>
      </c>
    </row>
    <row r="117" spans="1:19" ht="13.5" customHeight="1">
      <c r="A117" s="6">
        <v>4.9066950272993699</v>
      </c>
      <c r="B117" s="2">
        <f t="shared" si="45"/>
        <v>493.15</v>
      </c>
      <c r="C117" t="s">
        <v>24</v>
      </c>
      <c r="D117" s="1">
        <v>4.7E-2</v>
      </c>
      <c r="E117" t="s">
        <v>55</v>
      </c>
      <c r="F117" s="1">
        <v>0</v>
      </c>
      <c r="G117" t="s">
        <v>65</v>
      </c>
      <c r="H117" s="1">
        <v>0.23499999999999999</v>
      </c>
      <c r="I117" t="s">
        <v>27</v>
      </c>
      <c r="J117" s="1">
        <v>0</v>
      </c>
      <c r="K117" s="1">
        <v>0.76</v>
      </c>
      <c r="L117" s="1">
        <v>0.79</v>
      </c>
      <c r="M117" s="1">
        <v>6.4</v>
      </c>
      <c r="N117">
        <v>0</v>
      </c>
      <c r="O117" s="1">
        <v>0</v>
      </c>
      <c r="P117" s="4">
        <f t="shared" si="27"/>
        <v>6.4</v>
      </c>
      <c r="Q117" s="1">
        <v>1.56</v>
      </c>
      <c r="R117" s="1">
        <v>10</v>
      </c>
      <c r="S117" s="1">
        <v>3.21</v>
      </c>
    </row>
    <row r="118" spans="1:19" ht="13.5" customHeight="1">
      <c r="A118" s="6">
        <v>4.5588689403428502</v>
      </c>
      <c r="B118" s="2">
        <f t="shared" si="45"/>
        <v>493.15</v>
      </c>
      <c r="C118" t="s">
        <v>24</v>
      </c>
      <c r="D118" s="1">
        <v>4.7E-2</v>
      </c>
      <c r="E118" t="s">
        <v>55</v>
      </c>
      <c r="F118" s="1">
        <v>0</v>
      </c>
      <c r="G118" t="s">
        <v>63</v>
      </c>
      <c r="H118" s="1">
        <v>0.23499999999999999</v>
      </c>
      <c r="I118" t="s">
        <v>27</v>
      </c>
      <c r="J118" s="1">
        <v>0</v>
      </c>
      <c r="K118" s="1">
        <v>0.76</v>
      </c>
      <c r="L118" s="1">
        <v>0.79</v>
      </c>
      <c r="M118" s="1">
        <v>6.4</v>
      </c>
      <c r="N118">
        <v>0</v>
      </c>
      <c r="O118" s="1">
        <v>0</v>
      </c>
      <c r="P118" s="4">
        <f t="shared" si="27"/>
        <v>6.4</v>
      </c>
      <c r="Q118" s="1">
        <v>3.33</v>
      </c>
      <c r="R118" s="1">
        <v>1</v>
      </c>
      <c r="S118" s="1">
        <v>3.18</v>
      </c>
    </row>
    <row r="119" spans="1:19" ht="13.5" customHeight="1">
      <c r="A119" s="6">
        <v>4.3414776359950196</v>
      </c>
      <c r="B119" s="2">
        <f t="shared" si="45"/>
        <v>493.15</v>
      </c>
      <c r="C119" t="s">
        <v>24</v>
      </c>
      <c r="D119" s="1">
        <v>4.7E-2</v>
      </c>
      <c r="E119" t="s">
        <v>55</v>
      </c>
      <c r="F119" s="1">
        <v>0</v>
      </c>
      <c r="G119" t="s">
        <v>68</v>
      </c>
      <c r="H119" s="1">
        <v>0.23499999999999999</v>
      </c>
      <c r="I119" t="s">
        <v>27</v>
      </c>
      <c r="J119" s="1">
        <v>0</v>
      </c>
      <c r="K119" s="1">
        <v>0.76</v>
      </c>
      <c r="L119" s="1">
        <v>0.79</v>
      </c>
      <c r="M119" s="1">
        <v>6.4</v>
      </c>
      <c r="N119">
        <v>0</v>
      </c>
      <c r="O119" s="1">
        <v>0</v>
      </c>
      <c r="P119" s="4">
        <f t="shared" si="27"/>
        <v>6.4</v>
      </c>
      <c r="Q119" s="1">
        <v>3.86</v>
      </c>
      <c r="R119" s="1">
        <v>1</v>
      </c>
      <c r="S119" s="1">
        <v>6.4</v>
      </c>
    </row>
    <row r="120" spans="1:19" ht="13.5" customHeight="1">
      <c r="A120" s="6">
        <v>4.0303903466184803</v>
      </c>
      <c r="B120" s="2">
        <f>130+273.15</f>
        <v>403.15</v>
      </c>
      <c r="C120" t="s">
        <v>24</v>
      </c>
      <c r="D120" s="1">
        <v>0.20100000000000001</v>
      </c>
      <c r="E120" t="s">
        <v>55</v>
      </c>
      <c r="F120" s="1">
        <v>0</v>
      </c>
      <c r="G120" t="s">
        <v>47</v>
      </c>
      <c r="H120" s="1">
        <v>1.25</v>
      </c>
      <c r="I120" t="s">
        <v>27</v>
      </c>
      <c r="J120" s="1">
        <v>0</v>
      </c>
      <c r="K120" s="1">
        <v>0.61</v>
      </c>
      <c r="L120" s="1">
        <v>0.63</v>
      </c>
      <c r="M120" s="1">
        <v>0.2</v>
      </c>
      <c r="N120" s="3">
        <v>0</v>
      </c>
      <c r="O120" s="1">
        <v>0</v>
      </c>
      <c r="P120" s="4">
        <f t="shared" si="27"/>
        <v>0.2</v>
      </c>
      <c r="Q120" s="1">
        <v>3.37</v>
      </c>
      <c r="R120" s="1">
        <v>1</v>
      </c>
      <c r="S120" s="1">
        <v>20</v>
      </c>
    </row>
    <row r="121" spans="1:19" ht="13.5" customHeight="1">
      <c r="A121" s="6">
        <v>4.0303903466184803</v>
      </c>
      <c r="B121" s="2">
        <f>210+273.15</f>
        <v>483.15</v>
      </c>
      <c r="C121" t="s">
        <v>24</v>
      </c>
      <c r="D121" s="1">
        <v>0.4</v>
      </c>
      <c r="E121" t="s">
        <v>55</v>
      </c>
      <c r="F121" s="1">
        <v>0</v>
      </c>
      <c r="G121" t="s">
        <v>47</v>
      </c>
      <c r="H121" s="1">
        <v>2.5</v>
      </c>
      <c r="I121" t="s">
        <v>27</v>
      </c>
      <c r="J121" s="1">
        <v>0</v>
      </c>
      <c r="K121" s="1">
        <v>1.22</v>
      </c>
      <c r="L121" s="1">
        <v>1.27</v>
      </c>
      <c r="M121" s="1">
        <v>0.4</v>
      </c>
      <c r="N121">
        <v>0</v>
      </c>
      <c r="O121" s="1">
        <v>0</v>
      </c>
      <c r="P121" s="4">
        <f t="shared" si="27"/>
        <v>0.4</v>
      </c>
      <c r="Q121" s="1">
        <v>3.48</v>
      </c>
      <c r="R121" s="1">
        <v>1</v>
      </c>
      <c r="S121" s="1">
        <v>100</v>
      </c>
    </row>
    <row r="122" spans="1:19" ht="13.5" customHeight="1">
      <c r="A122" s="6">
        <v>4.2344315321953196</v>
      </c>
      <c r="B122" s="2">
        <f>200+273.15</f>
        <v>473.15</v>
      </c>
      <c r="C122" t="s">
        <v>19</v>
      </c>
      <c r="D122" s="1">
        <v>0.71</v>
      </c>
      <c r="E122" t="s">
        <v>55</v>
      </c>
      <c r="F122" s="1">
        <v>0</v>
      </c>
      <c r="G122" t="s">
        <v>69</v>
      </c>
      <c r="H122" s="1">
        <v>1.42</v>
      </c>
      <c r="I122" t="s">
        <v>22</v>
      </c>
      <c r="J122" s="1">
        <v>3.15</v>
      </c>
      <c r="K122" s="1">
        <v>1.9</v>
      </c>
      <c r="L122" s="1">
        <v>8.8699999999999992</v>
      </c>
      <c r="M122" s="1">
        <v>10</v>
      </c>
      <c r="N122" t="s">
        <v>70</v>
      </c>
      <c r="O122" s="1">
        <v>0.32500000000000001</v>
      </c>
      <c r="P122" s="4">
        <f t="shared" si="27"/>
        <v>10.324999999999999</v>
      </c>
      <c r="Q122" s="1">
        <v>4.8600000000000003</v>
      </c>
      <c r="R122" s="1">
        <f>10/60</f>
        <v>0.16666666666666666</v>
      </c>
      <c r="S122" s="1">
        <v>21.3</v>
      </c>
    </row>
    <row r="123" spans="1:19" ht="13.5" customHeight="1">
      <c r="A123" s="6">
        <v>4.9066950272993699</v>
      </c>
      <c r="B123" s="2">
        <f t="shared" ref="B123:B125" si="46">220+273.15</f>
        <v>493.15</v>
      </c>
      <c r="C123" t="s">
        <v>24</v>
      </c>
      <c r="D123" s="1">
        <v>0.08</v>
      </c>
      <c r="E123" t="s">
        <v>55</v>
      </c>
      <c r="F123" s="1">
        <v>0</v>
      </c>
      <c r="G123" t="s">
        <v>48</v>
      </c>
      <c r="H123" s="1">
        <v>0.18</v>
      </c>
      <c r="I123" t="s">
        <v>27</v>
      </c>
      <c r="J123" s="1">
        <v>0</v>
      </c>
      <c r="K123" s="1">
        <v>1.52</v>
      </c>
      <c r="L123" s="1">
        <v>1.84</v>
      </c>
      <c r="M123" s="1">
        <v>7.32</v>
      </c>
      <c r="N123">
        <v>0</v>
      </c>
      <c r="O123" s="1">
        <v>0</v>
      </c>
      <c r="P123" s="4">
        <f t="shared" si="27"/>
        <v>7.32</v>
      </c>
      <c r="Q123" s="1">
        <v>1.54</v>
      </c>
      <c r="R123" s="1">
        <v>1</v>
      </c>
      <c r="S123" s="1">
        <v>2.5</v>
      </c>
    </row>
    <row r="124" spans="1:19" ht="13.5" customHeight="1">
      <c r="A124" s="6">
        <v>4.9066950272993699</v>
      </c>
      <c r="B124" s="2">
        <f t="shared" si="46"/>
        <v>493.15</v>
      </c>
      <c r="C124" t="s">
        <v>24</v>
      </c>
      <c r="D124" s="1">
        <v>0.08</v>
      </c>
      <c r="E124" t="s">
        <v>55</v>
      </c>
      <c r="F124" s="1">
        <v>0</v>
      </c>
      <c r="G124" t="s">
        <v>48</v>
      </c>
      <c r="H124" s="1">
        <v>0.18</v>
      </c>
      <c r="I124" t="s">
        <v>27</v>
      </c>
      <c r="J124" s="1">
        <v>0</v>
      </c>
      <c r="K124" s="1">
        <v>1.52</v>
      </c>
      <c r="L124" s="1">
        <v>1.84</v>
      </c>
      <c r="M124" s="1">
        <v>7.32</v>
      </c>
      <c r="N124">
        <v>0</v>
      </c>
      <c r="O124" s="1">
        <v>0</v>
      </c>
      <c r="P124" s="4">
        <f t="shared" si="27"/>
        <v>7.32</v>
      </c>
      <c r="Q124" s="1">
        <v>1.48</v>
      </c>
      <c r="R124" s="1">
        <v>5</v>
      </c>
      <c r="S124" s="1">
        <v>3</v>
      </c>
    </row>
    <row r="125" spans="1:19" ht="13.5" customHeight="1">
      <c r="A125" s="6">
        <v>4.9066950272993699</v>
      </c>
      <c r="B125" s="2">
        <f t="shared" si="46"/>
        <v>493.15</v>
      </c>
      <c r="C125" t="s">
        <v>24</v>
      </c>
      <c r="D125" s="1">
        <v>0.08</v>
      </c>
      <c r="E125" t="s">
        <v>55</v>
      </c>
      <c r="F125" s="1">
        <v>0</v>
      </c>
      <c r="G125" t="s">
        <v>48</v>
      </c>
      <c r="H125" s="1">
        <v>0.18</v>
      </c>
      <c r="I125" t="s">
        <v>27</v>
      </c>
      <c r="J125" s="1">
        <v>0</v>
      </c>
      <c r="K125" s="1">
        <v>1.52</v>
      </c>
      <c r="L125" s="1">
        <v>1.84</v>
      </c>
      <c r="M125" s="1">
        <v>7.32</v>
      </c>
      <c r="N125">
        <v>0</v>
      </c>
      <c r="O125" s="1">
        <v>0</v>
      </c>
      <c r="P125" s="4">
        <f t="shared" si="27"/>
        <v>7.32</v>
      </c>
      <c r="Q125" s="1">
        <v>1.69</v>
      </c>
      <c r="R125" s="1">
        <v>10</v>
      </c>
      <c r="S125" s="1">
        <v>28</v>
      </c>
    </row>
    <row r="126" spans="1:19" ht="13.5" customHeight="1">
      <c r="A126" s="6">
        <v>5.0101571357507497</v>
      </c>
      <c r="B126" s="2">
        <f>140+273.15</f>
        <v>413.15</v>
      </c>
      <c r="C126" t="s">
        <v>19</v>
      </c>
      <c r="D126" s="1">
        <v>0.625</v>
      </c>
      <c r="E126" t="s">
        <v>55</v>
      </c>
      <c r="F126" s="1">
        <v>0</v>
      </c>
      <c r="G126" t="s">
        <v>71</v>
      </c>
      <c r="H126" s="1">
        <v>0.67600000000000005</v>
      </c>
      <c r="I126" t="s">
        <v>36</v>
      </c>
      <c r="J126" s="1">
        <v>4.1280000000000001</v>
      </c>
      <c r="K126" s="1">
        <v>0</v>
      </c>
      <c r="L126" s="1">
        <v>3.26</v>
      </c>
      <c r="M126" s="1">
        <v>2</v>
      </c>
      <c r="N126">
        <v>0</v>
      </c>
      <c r="O126" s="1">
        <v>0</v>
      </c>
      <c r="P126" s="4">
        <f t="shared" si="27"/>
        <v>2</v>
      </c>
      <c r="Q126" s="1">
        <v>2</v>
      </c>
      <c r="R126" s="1">
        <f>20/60</f>
        <v>0.33333333333333331</v>
      </c>
      <c r="S126" s="1">
        <v>12.9</v>
      </c>
    </row>
    <row r="127" spans="1:19" ht="13.5" customHeight="1">
      <c r="A127" s="6">
        <v>4.2390859987923903</v>
      </c>
      <c r="B127" s="2">
        <f>250+273.15</f>
        <v>523.15</v>
      </c>
      <c r="C127" t="s">
        <v>24</v>
      </c>
      <c r="D127" s="1">
        <v>2.5000000000000001E-2</v>
      </c>
      <c r="E127" t="s">
        <v>55</v>
      </c>
      <c r="F127" s="1">
        <v>0</v>
      </c>
      <c r="G127" t="s">
        <v>48</v>
      </c>
      <c r="H127" s="1">
        <v>0.19</v>
      </c>
      <c r="I127" t="s">
        <v>27</v>
      </c>
      <c r="J127" s="1">
        <v>0</v>
      </c>
      <c r="K127" s="1">
        <v>0.3</v>
      </c>
      <c r="L127" s="1">
        <v>0.32</v>
      </c>
      <c r="M127" s="1">
        <v>5</v>
      </c>
      <c r="N127">
        <v>0</v>
      </c>
      <c r="O127" s="1">
        <v>0</v>
      </c>
      <c r="P127" s="4">
        <f t="shared" si="27"/>
        <v>5</v>
      </c>
      <c r="Q127" s="1">
        <v>3</v>
      </c>
      <c r="R127" s="1">
        <f>15/60</f>
        <v>0.25</v>
      </c>
      <c r="S127" s="1">
        <v>18</v>
      </c>
    </row>
    <row r="128" spans="1:19" ht="13.5" customHeight="1">
      <c r="A128" s="6">
        <v>4.0303903466184803</v>
      </c>
      <c r="B128" s="2">
        <f>210+273.15</f>
        <v>483.15</v>
      </c>
      <c r="C128" t="s">
        <v>24</v>
      </c>
      <c r="D128" s="1">
        <v>2.5000000000000001E-2</v>
      </c>
      <c r="E128" t="s">
        <v>55</v>
      </c>
      <c r="F128" s="1">
        <v>0</v>
      </c>
      <c r="G128" t="s">
        <v>47</v>
      </c>
      <c r="H128" s="1">
        <v>0.22</v>
      </c>
      <c r="I128" t="s">
        <v>27</v>
      </c>
      <c r="J128" s="1">
        <v>0</v>
      </c>
      <c r="K128" s="1">
        <v>0.3</v>
      </c>
      <c r="L128" s="1">
        <v>0.32</v>
      </c>
      <c r="M128" s="1">
        <v>5</v>
      </c>
      <c r="N128">
        <v>0</v>
      </c>
      <c r="O128" s="1">
        <v>0</v>
      </c>
      <c r="P128" s="4">
        <f t="shared" si="27"/>
        <v>5</v>
      </c>
      <c r="Q128" s="1">
        <v>3.33</v>
      </c>
      <c r="R128" s="1">
        <v>1</v>
      </c>
      <c r="S128" s="1">
        <v>19</v>
      </c>
    </row>
    <row r="129" spans="1:19" ht="13.5" customHeight="1">
      <c r="A129" s="6">
        <v>4.0303903466184803</v>
      </c>
      <c r="B129" s="2">
        <f>165+273.15</f>
        <v>438.15</v>
      </c>
      <c r="C129" t="s">
        <v>24</v>
      </c>
      <c r="D129" s="1">
        <v>0.246</v>
      </c>
      <c r="E129" t="s">
        <v>55</v>
      </c>
      <c r="F129" s="1">
        <v>0</v>
      </c>
      <c r="G129" s="1" t="s">
        <v>47</v>
      </c>
      <c r="H129" s="1">
        <v>0.4</v>
      </c>
      <c r="I129" t="s">
        <v>27</v>
      </c>
      <c r="J129" s="1">
        <v>0</v>
      </c>
      <c r="K129" s="1">
        <v>0.15</v>
      </c>
      <c r="L129" s="1">
        <v>1.17</v>
      </c>
      <c r="M129" s="1">
        <v>13.16</v>
      </c>
      <c r="N129">
        <v>0</v>
      </c>
      <c r="O129" s="1">
        <v>0</v>
      </c>
      <c r="P129" s="4">
        <f t="shared" si="27"/>
        <v>13.16</v>
      </c>
      <c r="Q129" s="1">
        <v>3.48</v>
      </c>
      <c r="R129" s="1">
        <f>50/60</f>
        <v>0.83333333333333337</v>
      </c>
      <c r="S129" s="1">
        <v>38.299999999999997</v>
      </c>
    </row>
    <row r="130" spans="1:19" ht="13.5" customHeight="1">
      <c r="A130" s="6">
        <v>4.2390859987923903</v>
      </c>
      <c r="B130" s="2">
        <f>185+273.15</f>
        <v>458.15</v>
      </c>
      <c r="C130" t="s">
        <v>24</v>
      </c>
      <c r="D130" s="1">
        <v>0.246</v>
      </c>
      <c r="E130" t="s">
        <v>55</v>
      </c>
      <c r="F130" s="1">
        <v>0</v>
      </c>
      <c r="G130" t="s">
        <v>48</v>
      </c>
      <c r="H130" s="1">
        <v>0.4</v>
      </c>
      <c r="I130" t="s">
        <v>27</v>
      </c>
      <c r="J130" s="1">
        <v>0</v>
      </c>
      <c r="K130" s="1">
        <v>1.28</v>
      </c>
      <c r="L130" s="1">
        <v>0.32</v>
      </c>
      <c r="M130" s="1">
        <v>13.16</v>
      </c>
      <c r="N130">
        <v>0</v>
      </c>
      <c r="O130" s="1">
        <v>0</v>
      </c>
      <c r="P130" s="4">
        <f t="shared" si="27"/>
        <v>13.16</v>
      </c>
      <c r="Q130" s="1">
        <v>3.11</v>
      </c>
      <c r="R130" s="1">
        <f>90/60</f>
        <v>1.5</v>
      </c>
      <c r="S130" s="1">
        <v>28.7</v>
      </c>
    </row>
    <row r="131" spans="1:19" ht="13.5" customHeight="1">
      <c r="A131" s="1">
        <v>5.0101571357507497</v>
      </c>
      <c r="B131" s="2">
        <f>90+273.15</f>
        <v>363.15</v>
      </c>
      <c r="C131" t="s">
        <v>24</v>
      </c>
      <c r="D131" s="1">
        <v>0.1</v>
      </c>
      <c r="E131" t="s">
        <v>55</v>
      </c>
      <c r="F131" s="1">
        <v>0</v>
      </c>
      <c r="G131" t="s">
        <v>72</v>
      </c>
      <c r="H131" s="1">
        <v>0.1</v>
      </c>
      <c r="I131" t="s">
        <v>36</v>
      </c>
      <c r="J131" s="1">
        <v>4.57</v>
      </c>
      <c r="K131" s="1">
        <v>2</v>
      </c>
      <c r="L131" s="1">
        <v>3.17</v>
      </c>
      <c r="M131" s="1">
        <v>8</v>
      </c>
      <c r="N131">
        <v>0</v>
      </c>
      <c r="O131" s="1">
        <v>0</v>
      </c>
      <c r="P131" s="4">
        <f t="shared" si="27"/>
        <v>8</v>
      </c>
      <c r="Q131" s="1">
        <v>2.0499999999999998</v>
      </c>
      <c r="R131" s="1">
        <f t="shared" ref="R131:R135" si="47">10/60</f>
        <v>0.16666666666666666</v>
      </c>
      <c r="S131" s="1">
        <v>19</v>
      </c>
    </row>
    <row r="132" spans="1:19" ht="13.5" customHeight="1">
      <c r="A132" s="1">
        <v>5.0101571357507497</v>
      </c>
      <c r="B132" s="2">
        <f>135+273.15</f>
        <v>408.15</v>
      </c>
      <c r="C132" t="s">
        <v>24</v>
      </c>
      <c r="D132" s="1">
        <v>0.1</v>
      </c>
      <c r="E132" t="s">
        <v>55</v>
      </c>
      <c r="F132" s="1">
        <v>0</v>
      </c>
      <c r="G132" t="s">
        <v>72</v>
      </c>
      <c r="H132" s="1">
        <v>0.1</v>
      </c>
      <c r="I132" t="s">
        <v>36</v>
      </c>
      <c r="J132" s="1">
        <v>4.57</v>
      </c>
      <c r="K132" s="1">
        <v>2</v>
      </c>
      <c r="L132" s="1">
        <v>3.17</v>
      </c>
      <c r="M132" s="1">
        <v>8</v>
      </c>
      <c r="N132">
        <v>0</v>
      </c>
      <c r="O132" s="1">
        <v>0</v>
      </c>
      <c r="P132" s="4">
        <f t="shared" ref="P132:P164" si="48">M132+O132</f>
        <v>8</v>
      </c>
      <c r="Q132" s="1">
        <v>2</v>
      </c>
      <c r="R132" s="1">
        <f t="shared" si="47"/>
        <v>0.16666666666666666</v>
      </c>
      <c r="S132" s="1">
        <v>16</v>
      </c>
    </row>
    <row r="133" spans="1:19" ht="13.5" customHeight="1">
      <c r="A133" s="1">
        <v>5.0101571357507497</v>
      </c>
      <c r="B133" s="2">
        <f>185+273.15</f>
        <v>458.15</v>
      </c>
      <c r="C133" t="s">
        <v>24</v>
      </c>
      <c r="D133" s="1">
        <v>0.1</v>
      </c>
      <c r="E133" t="s">
        <v>55</v>
      </c>
      <c r="F133" s="1">
        <v>0</v>
      </c>
      <c r="G133" t="s">
        <v>72</v>
      </c>
      <c r="H133" s="1">
        <v>0.1</v>
      </c>
      <c r="I133" t="s">
        <v>36</v>
      </c>
      <c r="J133" s="1">
        <v>4.57</v>
      </c>
      <c r="K133" s="1">
        <v>2</v>
      </c>
      <c r="L133" s="1">
        <v>3.17</v>
      </c>
      <c r="M133" s="1">
        <v>8</v>
      </c>
      <c r="N133">
        <v>0</v>
      </c>
      <c r="O133" s="1">
        <v>0</v>
      </c>
      <c r="P133" s="4">
        <f t="shared" si="48"/>
        <v>8</v>
      </c>
      <c r="Q133" s="1">
        <v>1.9</v>
      </c>
      <c r="R133" s="1">
        <f t="shared" si="47"/>
        <v>0.16666666666666666</v>
      </c>
      <c r="S133" s="1">
        <v>57</v>
      </c>
    </row>
    <row r="134" spans="1:19" ht="13.5" customHeight="1">
      <c r="A134" s="1">
        <v>5.0101571357507497</v>
      </c>
      <c r="B134" s="2">
        <f>245+273.15</f>
        <v>518.15</v>
      </c>
      <c r="C134" t="s">
        <v>24</v>
      </c>
      <c r="D134" s="1">
        <v>0.1</v>
      </c>
      <c r="E134" t="s">
        <v>55</v>
      </c>
      <c r="F134" s="1">
        <v>0</v>
      </c>
      <c r="G134" t="s">
        <v>72</v>
      </c>
      <c r="H134" s="1">
        <v>0.1</v>
      </c>
      <c r="I134" t="s">
        <v>36</v>
      </c>
      <c r="J134" s="1">
        <v>4.57</v>
      </c>
      <c r="K134" s="1">
        <v>2</v>
      </c>
      <c r="L134" s="1">
        <v>3.17</v>
      </c>
      <c r="M134" s="1">
        <v>8</v>
      </c>
      <c r="N134">
        <v>0</v>
      </c>
      <c r="O134" s="1">
        <v>0</v>
      </c>
      <c r="P134" s="4">
        <f t="shared" si="48"/>
        <v>8</v>
      </c>
      <c r="Q134" s="1">
        <v>1.85</v>
      </c>
      <c r="R134" s="1">
        <f t="shared" si="47"/>
        <v>0.16666666666666666</v>
      </c>
      <c r="S134" s="1">
        <v>79</v>
      </c>
    </row>
    <row r="135" spans="1:19" ht="13.5" customHeight="1">
      <c r="A135" s="1">
        <v>4.7601571357507497</v>
      </c>
      <c r="B135" s="2">
        <f>185+273.15</f>
        <v>458.15</v>
      </c>
      <c r="C135" t="s">
        <v>24</v>
      </c>
      <c r="D135" s="1">
        <v>0.1</v>
      </c>
      <c r="E135" t="s">
        <v>55</v>
      </c>
      <c r="F135" s="1">
        <v>0</v>
      </c>
      <c r="G135" t="s">
        <v>72</v>
      </c>
      <c r="H135" s="1">
        <v>0.1</v>
      </c>
      <c r="I135" t="s">
        <v>22</v>
      </c>
      <c r="J135" s="1">
        <v>4.57</v>
      </c>
      <c r="K135" s="1">
        <v>2</v>
      </c>
      <c r="L135" s="1">
        <v>3.17</v>
      </c>
      <c r="M135" s="1">
        <v>8</v>
      </c>
      <c r="N135">
        <v>0</v>
      </c>
      <c r="O135" s="1">
        <v>0</v>
      </c>
      <c r="P135" s="4">
        <f t="shared" si="48"/>
        <v>8</v>
      </c>
      <c r="Q135" s="1">
        <v>3.4</v>
      </c>
      <c r="R135" s="1">
        <f t="shared" si="47"/>
        <v>0.16666666666666666</v>
      </c>
      <c r="S135" s="1">
        <v>31</v>
      </c>
    </row>
    <row r="136" spans="1:19" ht="13.5" customHeight="1">
      <c r="A136" s="6">
        <v>3.9363235589561998</v>
      </c>
      <c r="B136" s="2">
        <f>160+273.15</f>
        <v>433.15</v>
      </c>
      <c r="C136" t="s">
        <v>73</v>
      </c>
      <c r="D136" s="1">
        <v>5.04</v>
      </c>
      <c r="E136" t="s">
        <v>55</v>
      </c>
      <c r="F136" s="1">
        <v>0</v>
      </c>
      <c r="G136" t="s">
        <v>37</v>
      </c>
      <c r="H136" s="1">
        <v>0.56000000000000005</v>
      </c>
      <c r="I136" t="s">
        <v>27</v>
      </c>
      <c r="J136" s="1">
        <v>0</v>
      </c>
      <c r="K136" s="1">
        <v>4.5599999999999996</v>
      </c>
      <c r="L136" s="1">
        <v>4.75</v>
      </c>
      <c r="M136" s="1">
        <v>20</v>
      </c>
      <c r="N136">
        <v>0</v>
      </c>
      <c r="O136" s="1">
        <v>0</v>
      </c>
      <c r="P136" s="4">
        <f t="shared" si="48"/>
        <v>20</v>
      </c>
      <c r="Q136" s="1">
        <v>3.05</v>
      </c>
      <c r="R136" s="1">
        <v>60</v>
      </c>
      <c r="S136" s="1">
        <v>14.2</v>
      </c>
    </row>
    <row r="137" spans="1:19" ht="13.5" customHeight="1">
      <c r="A137" s="6">
        <v>4.59236411403666</v>
      </c>
      <c r="B137" s="2">
        <f>70+273.15</f>
        <v>343.15</v>
      </c>
      <c r="C137" t="s">
        <v>24</v>
      </c>
      <c r="D137" s="1">
        <v>0.61099999999999999</v>
      </c>
      <c r="E137" t="s">
        <v>55</v>
      </c>
      <c r="F137" s="1">
        <v>0</v>
      </c>
      <c r="G137" t="s">
        <v>74</v>
      </c>
      <c r="H137" s="1">
        <v>6</v>
      </c>
      <c r="I137" t="s">
        <v>27</v>
      </c>
      <c r="J137" s="1">
        <v>0</v>
      </c>
      <c r="K137" s="1">
        <v>18.239999999999998</v>
      </c>
      <c r="L137" s="1">
        <v>21.2</v>
      </c>
      <c r="M137" s="1">
        <v>107.3</v>
      </c>
      <c r="N137" s="3">
        <v>0</v>
      </c>
      <c r="O137" s="1">
        <v>0</v>
      </c>
      <c r="P137" s="4">
        <f t="shared" si="48"/>
        <v>107.3</v>
      </c>
      <c r="Q137" s="1">
        <v>3.92</v>
      </c>
      <c r="R137" s="1">
        <f>10/60</f>
        <v>0.16666666666666666</v>
      </c>
      <c r="S137" s="1">
        <v>22.7</v>
      </c>
    </row>
    <row r="138" spans="1:19" ht="13.5" customHeight="1">
      <c r="A138" s="6">
        <v>4.59236411403666</v>
      </c>
      <c r="B138" s="2">
        <f t="shared" ref="B138:B139" si="49">180+273.15</f>
        <v>453.15</v>
      </c>
      <c r="C138" t="s">
        <v>24</v>
      </c>
      <c r="D138" s="1">
        <v>0.4</v>
      </c>
      <c r="E138" t="s">
        <v>55</v>
      </c>
      <c r="F138" s="1">
        <v>0</v>
      </c>
      <c r="G138" t="s">
        <v>74</v>
      </c>
      <c r="H138" s="1">
        <v>0.8</v>
      </c>
      <c r="I138" t="s">
        <v>75</v>
      </c>
      <c r="J138" s="1">
        <v>0.4</v>
      </c>
      <c r="K138" s="1">
        <v>2.4300000000000002</v>
      </c>
      <c r="L138" s="1">
        <v>3.8</v>
      </c>
      <c r="M138" s="1">
        <v>11.6</v>
      </c>
      <c r="N138" s="3">
        <v>0</v>
      </c>
      <c r="O138" s="1">
        <v>0</v>
      </c>
      <c r="P138" s="4">
        <f t="shared" si="48"/>
        <v>11.6</v>
      </c>
      <c r="Q138" s="1">
        <v>4.3</v>
      </c>
      <c r="R138" s="1">
        <f t="shared" ref="R138:R140" si="50">20/60</f>
        <v>0.33333333333333331</v>
      </c>
      <c r="S138" s="1">
        <v>30</v>
      </c>
    </row>
    <row r="139" spans="1:19" ht="13.5" customHeight="1">
      <c r="A139" s="6">
        <v>4.0858706075431597</v>
      </c>
      <c r="B139" s="2">
        <f t="shared" si="49"/>
        <v>453.15</v>
      </c>
      <c r="C139" t="s">
        <v>24</v>
      </c>
      <c r="D139" s="1">
        <v>1.5</v>
      </c>
      <c r="E139" t="s">
        <v>55</v>
      </c>
      <c r="F139" s="1">
        <v>0</v>
      </c>
      <c r="G139" t="s">
        <v>76</v>
      </c>
      <c r="H139" s="1">
        <v>0.2</v>
      </c>
      <c r="I139" t="s">
        <v>26</v>
      </c>
      <c r="J139" s="1">
        <v>1.5</v>
      </c>
      <c r="K139" s="1">
        <v>3.04</v>
      </c>
      <c r="L139" s="1">
        <v>3.64</v>
      </c>
      <c r="M139" s="1">
        <v>5.6</v>
      </c>
      <c r="N139" s="3">
        <v>0</v>
      </c>
      <c r="O139" s="1">
        <v>0</v>
      </c>
      <c r="P139" s="4">
        <f t="shared" si="48"/>
        <v>5.6</v>
      </c>
      <c r="Q139" s="1">
        <v>4.38</v>
      </c>
      <c r="R139" s="1">
        <f t="shared" si="50"/>
        <v>0.33333333333333331</v>
      </c>
      <c r="S139" s="1">
        <v>24</v>
      </c>
    </row>
    <row r="140" spans="1:19" ht="13.5" customHeight="1">
      <c r="A140" s="6">
        <v>4.28067580234835</v>
      </c>
      <c r="B140" s="2">
        <f>200+273.15</f>
        <v>473.15</v>
      </c>
      <c r="C140" t="s">
        <v>24</v>
      </c>
      <c r="D140" s="1">
        <v>1.5</v>
      </c>
      <c r="E140" t="s">
        <v>55</v>
      </c>
      <c r="F140" s="1">
        <v>0</v>
      </c>
      <c r="G140" t="s">
        <v>77</v>
      </c>
      <c r="H140" s="1">
        <v>0.2</v>
      </c>
      <c r="I140" t="s">
        <v>62</v>
      </c>
      <c r="J140" s="1">
        <v>0.3</v>
      </c>
      <c r="K140" s="1">
        <v>3.04</v>
      </c>
      <c r="L140" s="1">
        <v>3.64</v>
      </c>
      <c r="M140" s="1">
        <v>6.6</v>
      </c>
      <c r="N140">
        <v>0</v>
      </c>
      <c r="O140" s="1">
        <v>0</v>
      </c>
      <c r="P140" s="4">
        <f t="shared" si="48"/>
        <v>6.6</v>
      </c>
      <c r="Q140" s="1">
        <v>4.63</v>
      </c>
      <c r="R140" s="1">
        <f t="shared" si="50"/>
        <v>0.33333333333333331</v>
      </c>
      <c r="S140" s="1">
        <v>14</v>
      </c>
    </row>
    <row r="141" spans="1:19" ht="13.5" customHeight="1">
      <c r="A141" s="6">
        <v>4.59236411403666</v>
      </c>
      <c r="B141" s="2">
        <f t="shared" ref="B141:B143" si="51">100+273.15</f>
        <v>373.15</v>
      </c>
      <c r="C141" t="s">
        <v>24</v>
      </c>
      <c r="D141" s="1">
        <v>0.4</v>
      </c>
      <c r="E141" t="s">
        <v>55</v>
      </c>
      <c r="F141" s="1">
        <v>0</v>
      </c>
      <c r="G141" t="s">
        <v>74</v>
      </c>
      <c r="H141" s="1">
        <v>0.8</v>
      </c>
      <c r="I141" t="s">
        <v>78</v>
      </c>
      <c r="J141" s="1">
        <v>1.2</v>
      </c>
      <c r="K141" s="1">
        <v>4.5599999999999996</v>
      </c>
      <c r="L141" s="1">
        <v>4.75</v>
      </c>
      <c r="M141" s="1">
        <v>15</v>
      </c>
      <c r="N141">
        <v>0</v>
      </c>
      <c r="O141" s="1">
        <v>0</v>
      </c>
      <c r="P141" s="4">
        <f t="shared" si="48"/>
        <v>15</v>
      </c>
      <c r="Q141" s="1">
        <v>4.42</v>
      </c>
      <c r="R141" s="1">
        <v>15</v>
      </c>
      <c r="S141" s="1">
        <v>38.53</v>
      </c>
    </row>
    <row r="142" spans="1:19" ht="13.5" customHeight="1">
      <c r="A142" s="6">
        <v>4.28067580234835</v>
      </c>
      <c r="B142" s="2">
        <f t="shared" si="51"/>
        <v>373.15</v>
      </c>
      <c r="C142" t="s">
        <v>24</v>
      </c>
      <c r="D142" s="1">
        <v>0.4</v>
      </c>
      <c r="E142" t="s">
        <v>55</v>
      </c>
      <c r="F142" s="1">
        <v>0</v>
      </c>
      <c r="G142" t="s">
        <v>77</v>
      </c>
      <c r="H142" s="1">
        <v>1.25</v>
      </c>
      <c r="I142" t="s">
        <v>79</v>
      </c>
      <c r="J142" s="1">
        <v>1.2</v>
      </c>
      <c r="K142" s="1">
        <v>4.5599999999999996</v>
      </c>
      <c r="L142" s="1">
        <v>4.75</v>
      </c>
      <c r="M142" s="1">
        <v>15</v>
      </c>
      <c r="N142">
        <v>0</v>
      </c>
      <c r="O142" s="1">
        <v>0</v>
      </c>
      <c r="P142" s="4">
        <f t="shared" si="48"/>
        <v>15</v>
      </c>
      <c r="Q142" s="1">
        <v>4.3499999999999996</v>
      </c>
      <c r="R142" s="1">
        <v>15</v>
      </c>
      <c r="S142" s="1">
        <v>15.45</v>
      </c>
    </row>
    <row r="143" spans="1:19" ht="13.5" customHeight="1">
      <c r="A143" s="1">
        <v>4.0858706075431597</v>
      </c>
      <c r="B143" s="2">
        <f t="shared" si="51"/>
        <v>373.15</v>
      </c>
      <c r="C143" t="s">
        <v>24</v>
      </c>
      <c r="D143" s="1">
        <v>0.4</v>
      </c>
      <c r="E143" t="s">
        <v>55</v>
      </c>
      <c r="F143" s="1">
        <v>0</v>
      </c>
      <c r="G143" t="s">
        <v>76</v>
      </c>
      <c r="H143" s="1">
        <v>0.08</v>
      </c>
      <c r="I143" t="s">
        <v>80</v>
      </c>
      <c r="J143" s="1">
        <v>1.2</v>
      </c>
      <c r="K143" s="1">
        <v>4.5599999999999996</v>
      </c>
      <c r="L143" s="1">
        <v>4.75</v>
      </c>
      <c r="M143" s="1">
        <v>15</v>
      </c>
      <c r="N143">
        <v>0</v>
      </c>
      <c r="O143" s="1">
        <v>0</v>
      </c>
      <c r="P143" s="4">
        <f t="shared" si="48"/>
        <v>15</v>
      </c>
      <c r="Q143" s="1">
        <v>4.08</v>
      </c>
      <c r="R143" s="1">
        <v>15</v>
      </c>
      <c r="S143" s="1">
        <v>23.8</v>
      </c>
    </row>
    <row r="144" spans="1:19" ht="13.5" customHeight="1">
      <c r="A144" s="6">
        <v>4.28067580234835</v>
      </c>
      <c r="B144" s="2">
        <f t="shared" ref="B144:B147" si="52">70+273.15</f>
        <v>343.15</v>
      </c>
      <c r="C144" t="s">
        <v>24</v>
      </c>
      <c r="D144" s="1">
        <v>0.17499999999999999</v>
      </c>
      <c r="E144" t="s">
        <v>55</v>
      </c>
      <c r="F144" s="1">
        <v>0</v>
      </c>
      <c r="G144" t="s">
        <v>77</v>
      </c>
      <c r="H144" s="1">
        <v>0.04</v>
      </c>
      <c r="I144" t="s">
        <v>27</v>
      </c>
      <c r="J144" s="1">
        <v>0</v>
      </c>
      <c r="K144" s="1">
        <v>1.6</v>
      </c>
      <c r="L144" s="1">
        <v>3.12</v>
      </c>
      <c r="M144" s="1">
        <v>12.81</v>
      </c>
      <c r="N144">
        <v>0</v>
      </c>
      <c r="O144" s="1">
        <v>0</v>
      </c>
      <c r="P144" s="4">
        <f t="shared" si="48"/>
        <v>12.81</v>
      </c>
      <c r="Q144" s="1">
        <v>4.2469999999999999</v>
      </c>
      <c r="R144" s="1">
        <f t="shared" ref="R144:R147" si="53">25/60</f>
        <v>0.41666666666666669</v>
      </c>
      <c r="S144" s="1">
        <v>90</v>
      </c>
    </row>
    <row r="145" spans="1:19" ht="13.5" customHeight="1">
      <c r="A145" s="6">
        <v>4.28067580234835</v>
      </c>
      <c r="B145" s="2">
        <f t="shared" si="52"/>
        <v>343.15</v>
      </c>
      <c r="C145" t="s">
        <v>24</v>
      </c>
      <c r="D145" s="1">
        <v>0.17499999999999999</v>
      </c>
      <c r="E145" t="s">
        <v>55</v>
      </c>
      <c r="F145" s="1">
        <v>0</v>
      </c>
      <c r="G145" t="s">
        <v>77</v>
      </c>
      <c r="H145" s="1">
        <v>0.04</v>
      </c>
      <c r="I145" t="s">
        <v>27</v>
      </c>
      <c r="J145" s="1">
        <v>0</v>
      </c>
      <c r="K145" s="1">
        <v>1.6</v>
      </c>
      <c r="L145" s="1">
        <v>2.68</v>
      </c>
      <c r="M145" s="1">
        <v>12.81</v>
      </c>
      <c r="N145">
        <v>0</v>
      </c>
      <c r="O145" s="1">
        <v>0</v>
      </c>
      <c r="P145" s="4">
        <f t="shared" si="48"/>
        <v>12.81</v>
      </c>
      <c r="Q145" s="1">
        <v>4.37</v>
      </c>
      <c r="R145" s="1">
        <f t="shared" si="53"/>
        <v>0.41666666666666669</v>
      </c>
      <c r="S145" s="1">
        <v>25</v>
      </c>
    </row>
    <row r="146" spans="1:19" ht="13.5" customHeight="1">
      <c r="A146" s="6">
        <v>4.28067580234835</v>
      </c>
      <c r="B146" s="2">
        <f t="shared" si="52"/>
        <v>343.15</v>
      </c>
      <c r="C146" t="s">
        <v>24</v>
      </c>
      <c r="D146" s="1">
        <v>0.17499999999999999</v>
      </c>
      <c r="E146" t="s">
        <v>55</v>
      </c>
      <c r="F146" s="1">
        <v>0</v>
      </c>
      <c r="G146" t="s">
        <v>77</v>
      </c>
      <c r="H146" s="1">
        <v>0.04</v>
      </c>
      <c r="I146" t="s">
        <v>27</v>
      </c>
      <c r="J146" s="1">
        <v>0</v>
      </c>
      <c r="K146" s="1">
        <v>1.6</v>
      </c>
      <c r="L146" s="1">
        <v>2.2000000000000002</v>
      </c>
      <c r="M146" s="1">
        <v>12.81</v>
      </c>
      <c r="N146">
        <v>0</v>
      </c>
      <c r="O146" s="1">
        <v>0</v>
      </c>
      <c r="P146" s="4">
        <f t="shared" si="48"/>
        <v>12.81</v>
      </c>
      <c r="Q146" s="1">
        <v>4.58</v>
      </c>
      <c r="R146" s="1">
        <f t="shared" si="53"/>
        <v>0.41666666666666669</v>
      </c>
      <c r="S146" s="1">
        <v>22</v>
      </c>
    </row>
    <row r="147" spans="1:19" ht="13.5" customHeight="1">
      <c r="A147" s="6">
        <v>4.28067580234835</v>
      </c>
      <c r="B147" s="2">
        <f t="shared" si="52"/>
        <v>343.15</v>
      </c>
      <c r="C147" t="s">
        <v>24</v>
      </c>
      <c r="D147" s="1">
        <v>0.17499999999999999</v>
      </c>
      <c r="E147" t="s">
        <v>55</v>
      </c>
      <c r="F147" s="1">
        <v>0</v>
      </c>
      <c r="G147" t="s">
        <v>77</v>
      </c>
      <c r="H147" s="1">
        <v>0.04</v>
      </c>
      <c r="I147" t="s">
        <v>27</v>
      </c>
      <c r="J147" s="1">
        <v>0</v>
      </c>
      <c r="K147" s="1">
        <v>1.6</v>
      </c>
      <c r="L147" s="1">
        <v>2.68</v>
      </c>
      <c r="M147" s="1">
        <v>12.81</v>
      </c>
      <c r="N147">
        <v>0</v>
      </c>
      <c r="O147" s="1">
        <v>0</v>
      </c>
      <c r="P147" s="4">
        <f t="shared" si="48"/>
        <v>12.81</v>
      </c>
      <c r="Q147" s="1">
        <v>4.4000000000000004</v>
      </c>
      <c r="R147" s="1">
        <f t="shared" si="53"/>
        <v>0.41666666666666669</v>
      </c>
      <c r="S147" s="1">
        <v>32.4</v>
      </c>
    </row>
    <row r="148" spans="1:19" ht="13.5" customHeight="1">
      <c r="A148" s="6">
        <v>4.59236411403666</v>
      </c>
      <c r="B148" s="2">
        <f>110+273.15</f>
        <v>383.15</v>
      </c>
      <c r="C148" t="s">
        <v>24</v>
      </c>
      <c r="D148" s="1">
        <v>0.42099999999999999</v>
      </c>
      <c r="E148" t="s">
        <v>55</v>
      </c>
      <c r="F148" s="1">
        <v>0</v>
      </c>
      <c r="G148" t="s">
        <v>74</v>
      </c>
      <c r="H148" s="1">
        <v>1.22</v>
      </c>
      <c r="I148" t="s">
        <v>27</v>
      </c>
      <c r="J148" s="1">
        <v>0</v>
      </c>
      <c r="K148" s="1">
        <v>9.1199999999999992</v>
      </c>
      <c r="L148" s="1">
        <v>10.84</v>
      </c>
      <c r="M148" s="1">
        <v>21.78</v>
      </c>
      <c r="N148">
        <v>0</v>
      </c>
      <c r="O148" s="1">
        <v>0</v>
      </c>
      <c r="P148" s="4">
        <f t="shared" si="48"/>
        <v>21.78</v>
      </c>
      <c r="Q148" s="1">
        <v>4.0999999999999996</v>
      </c>
      <c r="R148" s="1">
        <f>10/60</f>
        <v>0.16666666666666666</v>
      </c>
      <c r="S148" s="1">
        <v>43</v>
      </c>
    </row>
    <row r="149" spans="1:19" ht="13.5" customHeight="1">
      <c r="A149" s="1">
        <v>4.1318181987597802</v>
      </c>
      <c r="B149" s="2">
        <f t="shared" ref="B149:B154" si="54">180+273.15</f>
        <v>453.15</v>
      </c>
      <c r="C149" t="s">
        <v>24</v>
      </c>
      <c r="D149" s="1">
        <v>2.4550000000000001</v>
      </c>
      <c r="E149" t="s">
        <v>55</v>
      </c>
      <c r="F149" s="1">
        <v>0</v>
      </c>
      <c r="G149" s="7" t="s">
        <v>43</v>
      </c>
      <c r="H149" s="1">
        <v>1.42</v>
      </c>
      <c r="I149" t="s">
        <v>81</v>
      </c>
      <c r="J149" s="1">
        <v>2.93</v>
      </c>
      <c r="K149" s="1">
        <v>3.04</v>
      </c>
      <c r="L149" s="1">
        <v>3.36</v>
      </c>
      <c r="M149" s="1">
        <v>10.74</v>
      </c>
      <c r="N149">
        <v>0</v>
      </c>
      <c r="O149" s="1">
        <v>0</v>
      </c>
      <c r="P149" s="4">
        <f t="shared" si="48"/>
        <v>10.74</v>
      </c>
      <c r="Q149" s="1">
        <v>3.35</v>
      </c>
      <c r="R149" s="1">
        <v>1</v>
      </c>
      <c r="S149" s="1">
        <v>95.7</v>
      </c>
    </row>
    <row r="150" spans="1:19" ht="13.5" customHeight="1">
      <c r="A150" s="6">
        <v>4.2390859987923903</v>
      </c>
      <c r="B150" s="2">
        <f t="shared" si="54"/>
        <v>453.15</v>
      </c>
      <c r="C150" t="s">
        <v>24</v>
      </c>
      <c r="D150" s="1">
        <v>3.2599999999999997E-2</v>
      </c>
      <c r="E150" t="s">
        <v>55</v>
      </c>
      <c r="F150" s="1">
        <v>0</v>
      </c>
      <c r="G150" t="s">
        <v>82</v>
      </c>
      <c r="H150" s="1">
        <v>2.4700000000000002</v>
      </c>
      <c r="I150" t="s">
        <v>59</v>
      </c>
      <c r="J150" s="1">
        <v>0</v>
      </c>
      <c r="K150" s="1">
        <v>0.61</v>
      </c>
      <c r="L150" s="1">
        <v>0.63</v>
      </c>
      <c r="M150" s="1">
        <v>6</v>
      </c>
      <c r="N150">
        <v>0</v>
      </c>
      <c r="O150" s="1">
        <v>0</v>
      </c>
      <c r="P150" s="4">
        <f t="shared" si="48"/>
        <v>6</v>
      </c>
      <c r="Q150" s="1">
        <v>1.87</v>
      </c>
      <c r="R150" s="1">
        <v>1</v>
      </c>
      <c r="S150" s="1">
        <v>26</v>
      </c>
    </row>
    <row r="151" spans="1:19" ht="13.5" customHeight="1">
      <c r="A151" s="6">
        <v>4.2390859987923903</v>
      </c>
      <c r="B151" s="2">
        <f t="shared" si="54"/>
        <v>453.15</v>
      </c>
      <c r="C151" t="s">
        <v>24</v>
      </c>
      <c r="D151" s="1">
        <v>3.2599999999999997E-2</v>
      </c>
      <c r="E151" t="s">
        <v>55</v>
      </c>
      <c r="F151" s="1">
        <v>0</v>
      </c>
      <c r="G151" t="s">
        <v>82</v>
      </c>
      <c r="H151" s="1">
        <v>3.46</v>
      </c>
      <c r="I151" t="s">
        <v>59</v>
      </c>
      <c r="J151" s="1">
        <v>0</v>
      </c>
      <c r="K151" s="1">
        <v>0.61</v>
      </c>
      <c r="L151" s="1">
        <v>0.63</v>
      </c>
      <c r="M151" s="1">
        <v>6</v>
      </c>
      <c r="N151">
        <v>0</v>
      </c>
      <c r="O151" s="1">
        <v>0</v>
      </c>
      <c r="P151" s="4">
        <f t="shared" si="48"/>
        <v>6</v>
      </c>
      <c r="Q151" s="1">
        <v>1.87</v>
      </c>
      <c r="R151" s="1">
        <v>1</v>
      </c>
      <c r="S151" s="1">
        <v>33</v>
      </c>
    </row>
    <row r="152" spans="1:19" ht="13.5" customHeight="1">
      <c r="A152" s="6">
        <v>4.2390859987923903</v>
      </c>
      <c r="B152" s="2">
        <f t="shared" si="54"/>
        <v>453.15</v>
      </c>
      <c r="C152" t="s">
        <v>24</v>
      </c>
      <c r="D152" s="1">
        <v>3.2599999999999997E-2</v>
      </c>
      <c r="E152" t="s">
        <v>55</v>
      </c>
      <c r="F152" s="1">
        <v>0</v>
      </c>
      <c r="G152" t="s">
        <v>82</v>
      </c>
      <c r="H152" s="1">
        <v>3.95</v>
      </c>
      <c r="I152" t="s">
        <v>59</v>
      </c>
      <c r="J152" s="1">
        <v>0</v>
      </c>
      <c r="K152" s="1">
        <v>0.61</v>
      </c>
      <c r="L152" s="1">
        <v>0.63</v>
      </c>
      <c r="M152" s="1">
        <v>6</v>
      </c>
      <c r="N152">
        <v>0</v>
      </c>
      <c r="O152" s="1">
        <v>0</v>
      </c>
      <c r="P152" s="4">
        <f t="shared" si="48"/>
        <v>6</v>
      </c>
      <c r="Q152" s="1">
        <v>1.87</v>
      </c>
      <c r="R152" s="1">
        <v>1</v>
      </c>
      <c r="S152" s="1">
        <v>37</v>
      </c>
    </row>
    <row r="153" spans="1:19" ht="13.5" customHeight="1">
      <c r="A153" s="6">
        <v>4.7360982588061802</v>
      </c>
      <c r="B153" s="2">
        <f t="shared" si="54"/>
        <v>453.15</v>
      </c>
      <c r="C153" t="s">
        <v>24</v>
      </c>
      <c r="D153" s="1">
        <v>1.2E-2</v>
      </c>
      <c r="E153" t="s">
        <v>55</v>
      </c>
      <c r="F153" s="1">
        <v>0</v>
      </c>
      <c r="G153" t="s">
        <v>83</v>
      </c>
      <c r="H153" s="1">
        <v>0.08</v>
      </c>
      <c r="I153" t="s">
        <v>27</v>
      </c>
      <c r="J153" s="1">
        <v>0</v>
      </c>
      <c r="K153" s="1">
        <v>0.61</v>
      </c>
      <c r="L153" s="1">
        <v>0.66</v>
      </c>
      <c r="M153" s="1">
        <v>5.19</v>
      </c>
      <c r="N153">
        <v>0</v>
      </c>
      <c r="O153" s="1">
        <v>0</v>
      </c>
      <c r="P153" s="4">
        <f t="shared" si="48"/>
        <v>5.19</v>
      </c>
      <c r="Q153" s="1">
        <v>1.6</v>
      </c>
      <c r="R153" s="1">
        <v>2</v>
      </c>
      <c r="S153" s="1">
        <v>45</v>
      </c>
    </row>
    <row r="154" spans="1:19" ht="13.5" customHeight="1">
      <c r="A154" s="6">
        <v>4.1711395181313398</v>
      </c>
      <c r="B154" s="2">
        <f t="shared" si="54"/>
        <v>453.15</v>
      </c>
      <c r="C154" t="s">
        <v>24</v>
      </c>
      <c r="D154" s="1">
        <v>3.8600000000000002E-2</v>
      </c>
      <c r="E154" t="s">
        <v>55</v>
      </c>
      <c r="F154" s="1">
        <v>0</v>
      </c>
      <c r="G154" t="s">
        <v>84</v>
      </c>
      <c r="H154" s="1">
        <v>0.188</v>
      </c>
      <c r="I154" t="s">
        <v>27</v>
      </c>
      <c r="J154" s="1">
        <v>0</v>
      </c>
      <c r="K154" s="1">
        <v>1.82</v>
      </c>
      <c r="L154" s="1">
        <v>2.06</v>
      </c>
      <c r="M154" s="1">
        <v>6.75</v>
      </c>
      <c r="N154">
        <v>0</v>
      </c>
      <c r="O154" s="1">
        <v>0</v>
      </c>
      <c r="P154" s="4">
        <f t="shared" si="48"/>
        <v>6.75</v>
      </c>
      <c r="Q154" s="1">
        <v>1.87</v>
      </c>
      <c r="R154" s="1">
        <f>30/60</f>
        <v>0.5</v>
      </c>
      <c r="S154" s="1">
        <v>9.5</v>
      </c>
    </row>
    <row r="155" spans="1:19" ht="13.5" customHeight="1">
      <c r="A155" s="6">
        <v>3.80454331715729</v>
      </c>
      <c r="B155" s="2">
        <f>300+273.15</f>
        <v>573.15</v>
      </c>
      <c r="C155" t="s">
        <v>24</v>
      </c>
      <c r="D155" s="1">
        <v>0.14030000000000001</v>
      </c>
      <c r="E155" t="s">
        <v>55</v>
      </c>
      <c r="F155" s="1">
        <v>0</v>
      </c>
      <c r="G155" t="s">
        <v>41</v>
      </c>
      <c r="H155" s="1">
        <v>0.45800000000000002</v>
      </c>
      <c r="I155" t="s">
        <v>27</v>
      </c>
      <c r="J155" s="1">
        <v>0</v>
      </c>
      <c r="K155" s="1">
        <v>3.04</v>
      </c>
      <c r="L155" s="1">
        <v>4.5599999999999996</v>
      </c>
      <c r="M155" s="1">
        <v>10.96</v>
      </c>
      <c r="N155">
        <v>0</v>
      </c>
      <c r="O155" s="1">
        <v>0</v>
      </c>
      <c r="P155" s="4">
        <f t="shared" si="48"/>
        <v>10.96</v>
      </c>
      <c r="Q155" s="1">
        <v>5.13</v>
      </c>
      <c r="R155" s="1">
        <f t="shared" ref="R155:R156" si="55">1/60</f>
        <v>1.6666666666666666E-2</v>
      </c>
      <c r="S155" s="1">
        <v>100</v>
      </c>
    </row>
    <row r="156" spans="1:19" s="11" customFormat="1" ht="13.5" customHeight="1">
      <c r="A156" s="9">
        <v>3.8999555640097801</v>
      </c>
      <c r="B156" s="10">
        <f>120+273.15</f>
        <v>393.15</v>
      </c>
      <c r="C156" s="11" t="s">
        <v>24</v>
      </c>
      <c r="D156" s="9">
        <v>6.2E-2</v>
      </c>
      <c r="E156" s="11" t="s">
        <v>55</v>
      </c>
      <c r="F156" s="9">
        <v>0</v>
      </c>
      <c r="G156" s="11" t="s">
        <v>64</v>
      </c>
      <c r="H156" s="9">
        <v>225</v>
      </c>
      <c r="I156" t="s">
        <v>27</v>
      </c>
      <c r="J156" s="9">
        <v>0</v>
      </c>
      <c r="K156" s="9">
        <v>9.1199999999999992</v>
      </c>
      <c r="L156" s="9">
        <v>10.11</v>
      </c>
      <c r="M156" s="9">
        <v>32.31</v>
      </c>
      <c r="N156" s="11">
        <v>0</v>
      </c>
      <c r="O156" s="9">
        <v>0</v>
      </c>
      <c r="P156" s="12">
        <f t="shared" si="48"/>
        <v>32.31</v>
      </c>
      <c r="Q156" s="9">
        <v>2.98</v>
      </c>
      <c r="R156" s="9">
        <f t="shared" si="55"/>
        <v>1.6666666666666666E-2</v>
      </c>
      <c r="S156" s="9">
        <v>300</v>
      </c>
    </row>
    <row r="157" spans="1:19" ht="13.5" customHeight="1">
      <c r="A157" s="1">
        <v>4.0303903466184803</v>
      </c>
      <c r="B157" s="2">
        <f t="shared" ref="B157:B158" si="56">170+273.15</f>
        <v>443.15</v>
      </c>
      <c r="C157" t="s">
        <v>24</v>
      </c>
      <c r="D157" s="1">
        <v>0.39900000000000002</v>
      </c>
      <c r="E157" t="s">
        <v>55</v>
      </c>
      <c r="F157" s="1">
        <v>0</v>
      </c>
      <c r="G157" t="s">
        <v>47</v>
      </c>
      <c r="H157" s="1">
        <v>2.5</v>
      </c>
      <c r="I157" t="s">
        <v>27</v>
      </c>
      <c r="J157" s="1">
        <v>0</v>
      </c>
      <c r="K157" s="1">
        <v>1.22</v>
      </c>
      <c r="L157" s="1">
        <v>1.74</v>
      </c>
      <c r="M157" s="1">
        <v>12</v>
      </c>
      <c r="N157">
        <v>0</v>
      </c>
      <c r="O157" s="1">
        <v>0</v>
      </c>
      <c r="P157" s="4">
        <f t="shared" si="48"/>
        <v>12</v>
      </c>
      <c r="Q157" s="1">
        <v>1.76</v>
      </c>
      <c r="R157" s="1">
        <v>1</v>
      </c>
      <c r="S157" s="1">
        <v>25</v>
      </c>
    </row>
    <row r="158" spans="1:19" ht="13.5" customHeight="1">
      <c r="A158" s="1">
        <v>4.2390859987923903</v>
      </c>
      <c r="B158" s="2">
        <f t="shared" si="56"/>
        <v>443.15</v>
      </c>
      <c r="C158" t="s">
        <v>24</v>
      </c>
      <c r="D158" s="1">
        <v>0.39900000000000002</v>
      </c>
      <c r="E158" t="s">
        <v>55</v>
      </c>
      <c r="F158" s="1">
        <v>0</v>
      </c>
      <c r="G158" t="s">
        <v>48</v>
      </c>
      <c r="H158" s="1">
        <v>2.5</v>
      </c>
      <c r="I158" t="s">
        <v>27</v>
      </c>
      <c r="J158" s="1">
        <v>0</v>
      </c>
      <c r="K158" s="1">
        <v>1.22</v>
      </c>
      <c r="L158" s="1">
        <v>1.74</v>
      </c>
      <c r="M158" s="1">
        <v>12</v>
      </c>
      <c r="N158">
        <v>0</v>
      </c>
      <c r="O158" s="1">
        <v>0</v>
      </c>
      <c r="P158" s="4">
        <f t="shared" si="48"/>
        <v>12</v>
      </c>
      <c r="Q158" s="1">
        <v>1.32</v>
      </c>
      <c r="R158" s="1">
        <v>1</v>
      </c>
      <c r="S158" s="1">
        <v>7</v>
      </c>
    </row>
    <row r="159" spans="1:19" ht="13.5" customHeight="1">
      <c r="A159" s="1">
        <v>3.9350455047275998</v>
      </c>
      <c r="B159" s="2">
        <f>250+273.15</f>
        <v>523.15</v>
      </c>
      <c r="C159" t="s">
        <v>24</v>
      </c>
      <c r="D159" s="1">
        <v>7.3999999999999996E-2</v>
      </c>
      <c r="E159" t="s">
        <v>55</v>
      </c>
      <c r="F159" s="1">
        <v>0</v>
      </c>
      <c r="G159" t="s">
        <v>85</v>
      </c>
      <c r="H159" s="1">
        <v>0.4</v>
      </c>
      <c r="I159" t="s">
        <v>27</v>
      </c>
      <c r="J159" s="1">
        <v>0</v>
      </c>
      <c r="K159" s="1">
        <v>6.08</v>
      </c>
      <c r="L159" s="1">
        <v>1.05</v>
      </c>
      <c r="M159" s="1">
        <v>5.92</v>
      </c>
      <c r="N159">
        <v>0</v>
      </c>
      <c r="O159" s="1">
        <v>0</v>
      </c>
      <c r="P159" s="4">
        <f t="shared" si="48"/>
        <v>5.92</v>
      </c>
      <c r="Q159" s="1">
        <v>3.09</v>
      </c>
      <c r="R159" s="1">
        <v>45</v>
      </c>
      <c r="S159" s="1">
        <v>15</v>
      </c>
    </row>
    <row r="160" spans="1:19" ht="13.5" customHeight="1">
      <c r="A160" s="1">
        <v>3.8999555640097801</v>
      </c>
      <c r="B160" s="2">
        <f>150+273.15</f>
        <v>423.15</v>
      </c>
      <c r="C160" t="s">
        <v>24</v>
      </c>
      <c r="D160" s="1">
        <v>2.5000000000000001E-2</v>
      </c>
      <c r="E160" t="s">
        <v>55</v>
      </c>
      <c r="F160" s="1">
        <v>0</v>
      </c>
      <c r="G160" t="s">
        <v>64</v>
      </c>
      <c r="H160" s="1">
        <v>0.13300000000000001</v>
      </c>
      <c r="I160" t="s">
        <v>27</v>
      </c>
      <c r="J160" s="1">
        <v>0</v>
      </c>
      <c r="K160" s="1">
        <v>1.52</v>
      </c>
      <c r="L160" s="1">
        <v>1.71</v>
      </c>
      <c r="M160" s="1">
        <v>5.36</v>
      </c>
      <c r="N160">
        <v>0</v>
      </c>
      <c r="O160" s="1">
        <v>0</v>
      </c>
      <c r="P160" s="4">
        <f t="shared" si="48"/>
        <v>5.36</v>
      </c>
      <c r="Q160" s="1">
        <v>2.8</v>
      </c>
      <c r="R160" s="1">
        <f>5/60</f>
        <v>8.3333333333333329E-2</v>
      </c>
      <c r="S160" s="1">
        <v>18</v>
      </c>
    </row>
    <row r="161" spans="1:19" ht="13.5" customHeight="1">
      <c r="A161" s="6">
        <v>4.0303903466184803</v>
      </c>
      <c r="B161" s="2">
        <f>170+273.15</f>
        <v>443.15</v>
      </c>
      <c r="C161" t="s">
        <v>24</v>
      </c>
      <c r="D161" s="1">
        <v>0.39900000000000002</v>
      </c>
      <c r="E161" t="s">
        <v>55</v>
      </c>
      <c r="F161" s="1">
        <v>0</v>
      </c>
      <c r="G161" t="s">
        <v>47</v>
      </c>
      <c r="H161" s="1">
        <v>2.5</v>
      </c>
      <c r="I161" t="s">
        <v>27</v>
      </c>
      <c r="J161" s="1">
        <v>0</v>
      </c>
      <c r="K161" s="1">
        <v>1.22</v>
      </c>
      <c r="L161" s="1">
        <v>1.27</v>
      </c>
      <c r="M161" s="1">
        <v>12</v>
      </c>
      <c r="N161">
        <v>0</v>
      </c>
      <c r="O161" s="1">
        <v>0</v>
      </c>
      <c r="P161" s="4">
        <f t="shared" si="48"/>
        <v>12</v>
      </c>
      <c r="Q161" s="1">
        <v>1.85</v>
      </c>
      <c r="R161" s="1">
        <v>1</v>
      </c>
      <c r="S161" s="1">
        <v>8.4</v>
      </c>
    </row>
    <row r="162" spans="1:19" ht="13.5" customHeight="1">
      <c r="A162" s="6">
        <v>4.2390859987923903</v>
      </c>
      <c r="B162" s="2">
        <f t="shared" ref="B162:B164" si="57">240+273.15</f>
        <v>513.15</v>
      </c>
      <c r="C162" t="s">
        <v>24</v>
      </c>
      <c r="D162" s="1">
        <v>4.4999999999999998E-2</v>
      </c>
      <c r="E162" t="s">
        <v>55</v>
      </c>
      <c r="F162" s="1">
        <v>0</v>
      </c>
      <c r="G162" t="s">
        <v>86</v>
      </c>
      <c r="H162" s="1">
        <v>0.56000000000000005</v>
      </c>
      <c r="I162" t="s">
        <v>87</v>
      </c>
      <c r="J162" s="1">
        <v>1.1200000000000001</v>
      </c>
      <c r="K162" s="1">
        <v>6.08</v>
      </c>
      <c r="L162" s="1">
        <v>6.56</v>
      </c>
      <c r="M162" s="1">
        <v>8.73</v>
      </c>
      <c r="N162">
        <v>0</v>
      </c>
      <c r="O162" s="1">
        <v>0</v>
      </c>
      <c r="P162" s="4">
        <f t="shared" si="48"/>
        <v>8.73</v>
      </c>
      <c r="Q162" s="1">
        <f>1240/1010</f>
        <v>1.2277227722772277</v>
      </c>
      <c r="R162" s="1">
        <f t="shared" ref="R162:R164" si="58">10/60</f>
        <v>0.16666666666666666</v>
      </c>
      <c r="S162" s="1">
        <v>10.42</v>
      </c>
    </row>
    <row r="163" spans="1:19" ht="13.5" customHeight="1">
      <c r="A163" s="6">
        <v>4.0303903466184803</v>
      </c>
      <c r="B163" s="2">
        <f t="shared" si="57"/>
        <v>513.15</v>
      </c>
      <c r="C163" t="s">
        <v>24</v>
      </c>
      <c r="D163" s="1">
        <v>4.4999999999999998E-2</v>
      </c>
      <c r="E163" t="s">
        <v>55</v>
      </c>
      <c r="F163" s="1">
        <v>0</v>
      </c>
      <c r="G163" t="s">
        <v>86</v>
      </c>
      <c r="H163" s="1">
        <v>0.56000000000000005</v>
      </c>
      <c r="I163" t="s">
        <v>88</v>
      </c>
      <c r="J163" s="1">
        <v>1.1200000000000001</v>
      </c>
      <c r="K163" s="1">
        <v>6.08</v>
      </c>
      <c r="L163" s="1">
        <v>6.56</v>
      </c>
      <c r="M163" s="1">
        <v>8.73</v>
      </c>
      <c r="N163">
        <v>0</v>
      </c>
      <c r="O163" s="1">
        <v>0</v>
      </c>
      <c r="P163" s="4">
        <f t="shared" si="48"/>
        <v>8.73</v>
      </c>
      <c r="Q163" s="1">
        <f>1240/686</f>
        <v>1.8075801749271136</v>
      </c>
      <c r="R163" s="1">
        <f t="shared" si="58"/>
        <v>0.16666666666666666</v>
      </c>
      <c r="S163" s="1">
        <v>11.04</v>
      </c>
    </row>
    <row r="164" spans="1:19" ht="13.5" customHeight="1">
      <c r="A164" s="6">
        <v>3.8999555640097801</v>
      </c>
      <c r="B164" s="2">
        <f t="shared" si="57"/>
        <v>513.15</v>
      </c>
      <c r="C164" t="s">
        <v>24</v>
      </c>
      <c r="D164" s="1">
        <v>4.4999999999999998E-2</v>
      </c>
      <c r="E164" t="s">
        <v>55</v>
      </c>
      <c r="F164" s="1">
        <v>0</v>
      </c>
      <c r="G164" t="s">
        <v>86</v>
      </c>
      <c r="H164" s="1">
        <v>0.56000000000000005</v>
      </c>
      <c r="I164" t="s">
        <v>89</v>
      </c>
      <c r="J164" s="1">
        <v>1.1200000000000001</v>
      </c>
      <c r="K164" s="1">
        <v>6.08</v>
      </c>
      <c r="L164" s="1">
        <v>6.56</v>
      </c>
      <c r="M164" s="1">
        <v>8.73</v>
      </c>
      <c r="N164">
        <v>0</v>
      </c>
      <c r="O164" s="1">
        <v>0</v>
      </c>
      <c r="P164" s="4">
        <f t="shared" si="48"/>
        <v>8.73</v>
      </c>
      <c r="Q164" s="1">
        <f>1240/480</f>
        <v>2.5833333333333335</v>
      </c>
      <c r="R164" s="1">
        <f t="shared" si="58"/>
        <v>0.16666666666666666</v>
      </c>
      <c r="S164" s="1">
        <v>11.64</v>
      </c>
    </row>
    <row r="165" spans="1:19" ht="13.5" customHeight="1"/>
    <row r="166" spans="1:19" ht="13.5" customHeight="1"/>
    <row r="167" spans="1:19" ht="13.5" customHeight="1"/>
    <row r="168" spans="1:19" ht="13.5" customHeight="1"/>
    <row r="169" spans="1:19" ht="13.5" customHeight="1"/>
    <row r="170" spans="1:19" ht="13.5" customHeight="1"/>
    <row r="171" spans="1:19" ht="13.5" customHeight="1"/>
    <row r="172" spans="1:19" ht="13.5" customHeight="1"/>
    <row r="173" spans="1:19" ht="13.5" customHeight="1"/>
    <row r="174" spans="1:19" ht="13.5" customHeight="1"/>
    <row r="175" spans="1:19" ht="13.5" customHeight="1"/>
    <row r="176" spans="1:19" ht="13.5" customHeight="1"/>
    <row r="177" customFormat="1" ht="13.5" customHeight="1"/>
    <row r="178" customFormat="1" ht="13.5" customHeight="1"/>
    <row r="179" customFormat="1" ht="13.5" customHeight="1"/>
    <row r="180" customFormat="1" ht="13.5" customHeight="1"/>
    <row r="181" customFormat="1" ht="13.5" customHeight="1"/>
    <row r="182" customFormat="1" ht="13.5" customHeight="1"/>
    <row r="183" customFormat="1" ht="13.5" customHeight="1"/>
    <row r="184" customFormat="1" ht="13.5" customHeight="1"/>
    <row r="185" customFormat="1" ht="13.5" customHeight="1"/>
    <row r="186" customFormat="1" ht="13.5" customHeight="1"/>
    <row r="187" customFormat="1" ht="13.5" customHeight="1"/>
    <row r="188" customFormat="1" ht="13.5" customHeight="1"/>
    <row r="189" customFormat="1" ht="13.5" customHeight="1"/>
    <row r="190" customFormat="1" ht="13.5" customHeight="1"/>
    <row r="191" customFormat="1" ht="13.5" customHeight="1"/>
    <row r="192" customFormat="1" ht="13.5" customHeight="1"/>
    <row r="193" customFormat="1" ht="13.5" customHeight="1"/>
    <row r="194" customFormat="1" ht="13.5" customHeight="1"/>
    <row r="195" customFormat="1" ht="13.5" customHeight="1"/>
    <row r="196" customFormat="1" ht="13.5" customHeight="1"/>
    <row r="197" customFormat="1" ht="13.5" customHeight="1"/>
    <row r="198" customFormat="1" ht="13.5" customHeight="1"/>
    <row r="199" customFormat="1" ht="13.5" customHeight="1"/>
    <row r="200" customFormat="1" ht="13.5" customHeight="1"/>
    <row r="201" customFormat="1" ht="13.5" customHeight="1"/>
    <row r="202" customFormat="1" ht="13.5" customHeight="1"/>
    <row r="203" customFormat="1" ht="13.5" customHeight="1"/>
    <row r="204" customFormat="1" ht="13.5" customHeight="1"/>
    <row r="205" customFormat="1" ht="13.5" customHeight="1"/>
    <row r="206" customFormat="1" ht="13.5" customHeight="1"/>
    <row r="207" customFormat="1" ht="13.5" customHeight="1"/>
    <row r="208" customFormat="1" ht="13.5" customHeight="1"/>
    <row r="209" customFormat="1" ht="13.5" customHeight="1"/>
    <row r="210" customFormat="1" ht="13.5" customHeight="1"/>
    <row r="211" customFormat="1" ht="13.5" customHeight="1"/>
    <row r="212" customFormat="1" ht="13.5" customHeight="1"/>
    <row r="213" customFormat="1" ht="13.5" customHeight="1"/>
    <row r="214" customFormat="1" ht="13.5" customHeight="1"/>
    <row r="215" customFormat="1" ht="13.5" customHeight="1"/>
    <row r="216" customFormat="1" ht="13.5" customHeight="1"/>
    <row r="217" customFormat="1" ht="13.5" customHeight="1"/>
    <row r="218" customFormat="1" ht="13.5" customHeight="1"/>
    <row r="219" customFormat="1" ht="13.5" customHeight="1"/>
    <row r="220" customFormat="1" ht="13.5" customHeight="1"/>
    <row r="221" customFormat="1" ht="13.5" customHeight="1"/>
    <row r="222" customFormat="1" ht="13.5" customHeight="1"/>
    <row r="223" customFormat="1" ht="13.5" customHeight="1"/>
    <row r="224" customFormat="1" ht="13.5" customHeight="1"/>
    <row r="225" customFormat="1" ht="13.5" customHeight="1"/>
    <row r="226" customFormat="1" ht="13.5" customHeight="1"/>
    <row r="227" customFormat="1" ht="13.5" customHeight="1"/>
    <row r="228" customFormat="1" ht="13.5" customHeight="1"/>
    <row r="229" customFormat="1" ht="13.5" customHeight="1"/>
    <row r="230" customFormat="1" ht="13.5" customHeight="1"/>
    <row r="231" customFormat="1" ht="13.5" customHeight="1"/>
    <row r="232" customFormat="1" ht="13.5" customHeight="1"/>
    <row r="233" customFormat="1" ht="13.5" customHeight="1"/>
    <row r="234" customFormat="1" ht="13.5" customHeight="1"/>
    <row r="235" customFormat="1" ht="13.5" customHeight="1"/>
    <row r="236" customFormat="1" ht="13.5" customHeight="1"/>
    <row r="237" customFormat="1" ht="13.5" customHeight="1"/>
    <row r="238" customFormat="1" ht="13.5" customHeight="1"/>
    <row r="239" customFormat="1" ht="13.5" customHeight="1"/>
    <row r="240" customFormat="1" ht="13.5" customHeight="1"/>
    <row r="241" customFormat="1" ht="13.5" customHeight="1"/>
    <row r="242" customFormat="1" ht="13.5" customHeight="1"/>
    <row r="243" customFormat="1" ht="13.5" customHeight="1"/>
    <row r="244" customFormat="1" ht="13.5" customHeight="1"/>
    <row r="245" customFormat="1" ht="13.5" customHeight="1"/>
    <row r="246" customFormat="1" ht="13.5" customHeight="1"/>
    <row r="247" customFormat="1" ht="13.5" customHeight="1"/>
    <row r="248" customFormat="1" ht="13.5" customHeight="1"/>
    <row r="249" customFormat="1" ht="13.5" customHeight="1"/>
    <row r="250" customFormat="1" ht="13.5" customHeight="1"/>
    <row r="251" customFormat="1" ht="13.5" customHeight="1"/>
    <row r="252" customFormat="1" ht="13.5" customHeight="1"/>
    <row r="253" customFormat="1" ht="13.5" customHeight="1"/>
    <row r="254" customFormat="1" ht="13.5" customHeight="1"/>
    <row r="255" customFormat="1" ht="13.5" customHeight="1"/>
    <row r="256" customFormat="1" ht="13.5" customHeight="1"/>
    <row r="257" customFormat="1" ht="13.5" customHeight="1"/>
    <row r="258" customFormat="1" ht="13.5" customHeight="1"/>
    <row r="259" customFormat="1" ht="13.5" customHeight="1"/>
    <row r="260" customFormat="1" ht="13.5" customHeight="1"/>
    <row r="261" customFormat="1" ht="13.5" customHeight="1"/>
    <row r="262" customFormat="1" ht="13.5" customHeight="1"/>
    <row r="263" customFormat="1" ht="13.5" customHeight="1"/>
    <row r="264" customFormat="1" ht="13.5" customHeight="1"/>
    <row r="265" customFormat="1" ht="13.5" customHeight="1"/>
    <row r="266" customFormat="1" ht="13.5" customHeight="1"/>
    <row r="267" customFormat="1" ht="13.5" customHeight="1"/>
    <row r="268" customFormat="1" ht="13.5" customHeight="1"/>
    <row r="269" customFormat="1" ht="13.5" customHeight="1"/>
    <row r="270" customFormat="1" ht="13.5" customHeight="1"/>
    <row r="271" customFormat="1" ht="13.5" customHeight="1"/>
    <row r="272" customFormat="1" ht="13.5" customHeight="1"/>
    <row r="273" customFormat="1" ht="13.5" customHeight="1"/>
    <row r="274" customFormat="1" ht="13.5" customHeight="1"/>
    <row r="275" customFormat="1" ht="13.5" customHeight="1"/>
    <row r="276" customFormat="1" ht="13.5" customHeight="1"/>
    <row r="277" customFormat="1" ht="13.5" customHeight="1"/>
    <row r="278" customFormat="1" ht="13.5" customHeight="1"/>
    <row r="279" customFormat="1" ht="13.5" customHeight="1"/>
    <row r="280" customFormat="1" ht="13.5" customHeight="1"/>
    <row r="281" customFormat="1" ht="13.5" customHeight="1"/>
    <row r="282" customFormat="1" ht="13.5" customHeight="1"/>
    <row r="283" customFormat="1" ht="13.5" customHeight="1"/>
    <row r="284" customFormat="1" ht="13.5" customHeight="1"/>
    <row r="285" customFormat="1" ht="13.5" customHeight="1"/>
    <row r="286" customFormat="1" ht="13.5" customHeight="1"/>
    <row r="287" customFormat="1" ht="13.5" customHeight="1"/>
    <row r="288" customFormat="1" ht="13.5" customHeight="1"/>
    <row r="289" customFormat="1" ht="13.5" customHeight="1"/>
    <row r="290" customFormat="1" ht="13.5" customHeight="1"/>
    <row r="291" customFormat="1" ht="13.5" customHeight="1"/>
    <row r="292" customFormat="1" ht="13.5" customHeight="1"/>
    <row r="293" customFormat="1" ht="13.5" customHeight="1"/>
    <row r="294" customFormat="1" ht="13.5" customHeight="1"/>
    <row r="295" customFormat="1" ht="13.5" customHeight="1"/>
    <row r="296" customFormat="1" ht="13.5" customHeight="1"/>
    <row r="297" customFormat="1" ht="13.5" customHeight="1"/>
    <row r="298" customFormat="1" ht="13.5" customHeight="1"/>
    <row r="299" customFormat="1" ht="13.5" customHeight="1"/>
    <row r="300" customFormat="1" ht="13.5" customHeight="1"/>
    <row r="301" customFormat="1" ht="13.5" customHeight="1"/>
    <row r="302" customFormat="1" ht="13.5" customHeight="1"/>
    <row r="303" customFormat="1" ht="13.5" customHeight="1"/>
    <row r="304" customFormat="1" ht="13.5" customHeight="1"/>
    <row r="305" customFormat="1" ht="13.5" customHeight="1"/>
    <row r="306" customFormat="1" ht="13.5" customHeight="1"/>
    <row r="307" customFormat="1" ht="13.5" customHeight="1"/>
    <row r="308" customFormat="1" ht="13.5" customHeight="1"/>
    <row r="309" customFormat="1" ht="13.5" customHeight="1"/>
    <row r="310" customFormat="1" ht="13.5" customHeight="1"/>
    <row r="311" customFormat="1" ht="13.5" customHeight="1"/>
    <row r="312" customFormat="1" ht="13.5" customHeight="1"/>
    <row r="313" customFormat="1" ht="13.5" customHeight="1"/>
    <row r="314" customFormat="1" ht="13.5" customHeight="1"/>
    <row r="315" customFormat="1" ht="13.5" customHeight="1"/>
    <row r="316" customFormat="1" ht="13.5" customHeight="1"/>
    <row r="317" customFormat="1" ht="13.5" customHeight="1"/>
    <row r="318" customFormat="1" ht="13.5" customHeight="1"/>
    <row r="319" customFormat="1" ht="13.5" customHeight="1"/>
    <row r="320" customFormat="1" ht="13.5" customHeight="1"/>
    <row r="321" customFormat="1" ht="13.5" customHeight="1"/>
    <row r="322" customFormat="1" ht="13.5" customHeight="1"/>
    <row r="323" customFormat="1" ht="13.5" customHeight="1"/>
    <row r="324" customFormat="1" ht="13.5" customHeight="1"/>
    <row r="325" customFormat="1" ht="13.5" customHeight="1"/>
    <row r="326" customFormat="1" ht="13.5" customHeight="1"/>
    <row r="327" customFormat="1" ht="13.5" customHeight="1"/>
    <row r="328" customFormat="1" ht="13.5" customHeight="1"/>
    <row r="329" customFormat="1" ht="13.5" customHeight="1"/>
    <row r="330" customFormat="1" ht="13.5" customHeight="1"/>
    <row r="331" customFormat="1" ht="13.5" customHeight="1"/>
    <row r="332" customFormat="1" ht="13.5" customHeight="1"/>
    <row r="333" customFormat="1" ht="13.5" customHeight="1"/>
    <row r="334" customFormat="1" ht="13.5" customHeight="1"/>
    <row r="335" customFormat="1" ht="13.5" customHeight="1"/>
    <row r="336" customFormat="1" ht="13.5" customHeight="1"/>
    <row r="337" customFormat="1" ht="13.5" customHeight="1"/>
    <row r="338" customFormat="1" ht="13.5" customHeight="1"/>
    <row r="339" customFormat="1" ht="13.5" customHeight="1"/>
    <row r="340" customFormat="1" ht="13.5" customHeight="1"/>
    <row r="341" customFormat="1" ht="13.5" customHeight="1"/>
    <row r="342" customFormat="1" ht="13.5" customHeight="1"/>
    <row r="343" customFormat="1" ht="13.5" customHeight="1"/>
    <row r="344" customFormat="1" ht="13.5" customHeight="1"/>
    <row r="345" customFormat="1" ht="13.5" customHeight="1"/>
    <row r="346" customFormat="1" ht="13.5" customHeight="1"/>
    <row r="347" customFormat="1" ht="13.5" customHeight="1"/>
    <row r="348" customFormat="1" ht="13.5" customHeight="1"/>
    <row r="349" customFormat="1" ht="13.5" customHeight="1"/>
    <row r="350" customFormat="1" ht="13.5" customHeight="1"/>
    <row r="351" customFormat="1" ht="13.5" customHeight="1"/>
    <row r="352" customFormat="1" ht="13.5" customHeight="1"/>
    <row r="353" customFormat="1" ht="13.5" customHeight="1"/>
    <row r="354" customFormat="1" ht="13.5" customHeight="1"/>
    <row r="355" customFormat="1" ht="13.5" customHeight="1"/>
    <row r="356" customFormat="1" ht="13.5" customHeight="1"/>
    <row r="357" customFormat="1" ht="13.5" customHeight="1"/>
    <row r="358" customFormat="1" ht="13.5" customHeight="1"/>
    <row r="359" customFormat="1" ht="13.5" customHeight="1"/>
    <row r="360" customFormat="1" ht="13.5" customHeight="1"/>
    <row r="361" customFormat="1" ht="13.5" customHeight="1"/>
    <row r="362" customFormat="1" ht="13.5" customHeight="1"/>
    <row r="363" customFormat="1" ht="13.5" customHeight="1"/>
    <row r="364" customFormat="1" ht="13.5" customHeight="1"/>
    <row r="365" customFormat="1" ht="13.5" customHeight="1"/>
    <row r="366" customFormat="1" ht="13.5" customHeight="1"/>
    <row r="367" customFormat="1" ht="13.5" customHeight="1"/>
    <row r="368" customFormat="1" ht="13.5" customHeight="1"/>
    <row r="369" customFormat="1" ht="13.5" customHeight="1"/>
    <row r="370" customFormat="1" ht="13.5" customHeight="1"/>
    <row r="371" customFormat="1" ht="13.5" customHeight="1"/>
    <row r="372" customFormat="1" ht="13.5" customHeight="1"/>
    <row r="373" customFormat="1" ht="13.5" customHeight="1"/>
    <row r="374" customFormat="1" ht="13.5" customHeight="1"/>
    <row r="375" customFormat="1" ht="13.5" customHeight="1"/>
    <row r="376" customFormat="1" ht="13.5" customHeight="1"/>
    <row r="377" customFormat="1" ht="13.5" customHeight="1"/>
    <row r="378" customFormat="1" ht="13.5" customHeight="1"/>
    <row r="379" customFormat="1" ht="13.5" customHeight="1"/>
    <row r="380" customFormat="1" ht="13.5" customHeight="1"/>
    <row r="381" customFormat="1" ht="13.5" customHeight="1"/>
    <row r="382" customFormat="1" ht="13.5" customHeight="1"/>
    <row r="383" customFormat="1" ht="13.5" customHeight="1"/>
    <row r="384" customFormat="1" ht="13.5" customHeight="1"/>
    <row r="385" customFormat="1" ht="13.5" customHeight="1"/>
    <row r="386" customFormat="1" ht="13.5" customHeight="1"/>
    <row r="387" customFormat="1" ht="13.5" customHeight="1"/>
    <row r="388" customFormat="1" ht="13.5" customHeight="1"/>
    <row r="389" customFormat="1" ht="13.5" customHeight="1"/>
    <row r="390" customFormat="1" ht="13.5" customHeight="1"/>
    <row r="391" customFormat="1" ht="13.5" customHeight="1"/>
    <row r="392" customFormat="1" ht="13.5" customHeight="1"/>
    <row r="393" customFormat="1" ht="13.5" customHeight="1"/>
    <row r="394" customFormat="1" ht="13.5" customHeight="1"/>
    <row r="395" customFormat="1" ht="13.5" customHeight="1"/>
    <row r="396" customFormat="1" ht="13.5" customHeight="1"/>
    <row r="397" customFormat="1" ht="13.5" customHeight="1"/>
    <row r="398" customFormat="1" ht="13.5" customHeight="1"/>
    <row r="399" customFormat="1" ht="13.5" customHeight="1"/>
    <row r="400" customFormat="1" ht="13.5" customHeight="1"/>
    <row r="401" customFormat="1" ht="13.5" customHeight="1"/>
    <row r="402" customFormat="1" ht="13.5" customHeight="1"/>
    <row r="403" customFormat="1" ht="13.5" customHeight="1"/>
    <row r="404" customFormat="1" ht="13.5" customHeight="1"/>
    <row r="405" customFormat="1" ht="13.5" customHeight="1"/>
    <row r="406" customFormat="1" ht="13.5" customHeight="1"/>
    <row r="407" customFormat="1" ht="13.5" customHeight="1"/>
    <row r="408" customFormat="1" ht="13.5" customHeight="1"/>
    <row r="409" customFormat="1" ht="13.5" customHeight="1"/>
    <row r="410" customFormat="1" ht="13.5" customHeight="1"/>
    <row r="411" customFormat="1" ht="13.5" customHeight="1"/>
    <row r="412" customFormat="1" ht="13.5" customHeight="1"/>
    <row r="413" customFormat="1" ht="13.5" customHeight="1"/>
    <row r="414" customFormat="1" ht="13.5" customHeight="1"/>
    <row r="415" customFormat="1" ht="13.5" customHeight="1"/>
    <row r="416" customFormat="1" ht="13.5" customHeight="1"/>
    <row r="417" customFormat="1" ht="13.5" customHeight="1"/>
    <row r="418" customFormat="1" ht="13.5" customHeight="1"/>
    <row r="419" customFormat="1" ht="13.5" customHeight="1"/>
    <row r="420" customFormat="1" ht="13.5" customHeight="1"/>
    <row r="421" customFormat="1" ht="13.5" customHeight="1"/>
    <row r="422" customFormat="1" ht="13.5" customHeight="1"/>
    <row r="423" customFormat="1" ht="13.5" customHeight="1"/>
    <row r="424" customFormat="1" ht="13.5" customHeight="1"/>
    <row r="425" customFormat="1" ht="13.5" customHeight="1"/>
    <row r="426" customFormat="1" ht="13.5" customHeight="1"/>
    <row r="427" customFormat="1" ht="13.5" customHeight="1"/>
    <row r="428" customFormat="1" ht="13.5" customHeight="1"/>
    <row r="429" customFormat="1" ht="13.5" customHeight="1"/>
    <row r="430" customFormat="1" ht="13.5" customHeight="1"/>
    <row r="431" customFormat="1" ht="13.5" customHeight="1"/>
    <row r="432" customFormat="1" ht="13.5" customHeight="1"/>
    <row r="433" customFormat="1" ht="13.5" customHeight="1"/>
    <row r="434" customFormat="1" ht="13.5" customHeight="1"/>
    <row r="435" customFormat="1" ht="13.5" customHeight="1"/>
    <row r="436" customFormat="1" ht="13.5" customHeight="1"/>
    <row r="437" customFormat="1" ht="13.5" customHeight="1"/>
    <row r="438" customFormat="1" ht="13.5" customHeight="1"/>
    <row r="439" customFormat="1" ht="13.5" customHeight="1"/>
    <row r="440" customFormat="1" ht="13.5" customHeight="1"/>
    <row r="441" customFormat="1" ht="13.5" customHeight="1"/>
    <row r="442" customFormat="1" ht="13.5" customHeight="1"/>
    <row r="443" customFormat="1" ht="13.5" customHeight="1"/>
    <row r="444" customFormat="1" ht="13.5" customHeight="1"/>
    <row r="445" customFormat="1" ht="13.5" customHeight="1"/>
    <row r="446" customFormat="1" ht="13.5" customHeight="1"/>
    <row r="447" customFormat="1" ht="13.5" customHeight="1"/>
    <row r="448" customFormat="1" ht="13.5" customHeight="1"/>
    <row r="449" customFormat="1" ht="13.5" customHeight="1"/>
    <row r="450" customFormat="1" ht="13.5" customHeight="1"/>
    <row r="451" customFormat="1" ht="13.5" customHeight="1"/>
    <row r="452" customFormat="1" ht="13.5" customHeight="1"/>
    <row r="453" customFormat="1" ht="13.5" customHeight="1"/>
    <row r="454" customFormat="1" ht="13.5" customHeight="1"/>
    <row r="455" customFormat="1" ht="13.5" customHeight="1"/>
    <row r="456" customFormat="1" ht="13.5" customHeight="1"/>
    <row r="457" customFormat="1" ht="13.5" customHeight="1"/>
    <row r="458" customFormat="1" ht="13.5" customHeight="1"/>
    <row r="459" customFormat="1" ht="13.5" customHeight="1"/>
    <row r="460" customFormat="1" ht="13.5" customHeight="1"/>
    <row r="461" customFormat="1" ht="13.5" customHeight="1"/>
    <row r="462" customFormat="1" ht="13.5" customHeight="1"/>
    <row r="463" customFormat="1" ht="13.5" customHeight="1"/>
    <row r="464" customFormat="1" ht="13.5" customHeight="1"/>
    <row r="465" customFormat="1" ht="13.5" customHeight="1"/>
    <row r="466" customFormat="1" ht="13.5" customHeight="1"/>
    <row r="467" customFormat="1" ht="13.5" customHeight="1"/>
    <row r="468" customFormat="1" ht="13.5" customHeight="1"/>
    <row r="469" customFormat="1" ht="13.5" customHeight="1"/>
    <row r="470" customFormat="1" ht="13.5" customHeight="1"/>
    <row r="471" customFormat="1" ht="13.5" customHeight="1"/>
    <row r="472" customFormat="1" ht="13.5" customHeight="1"/>
    <row r="473" customFormat="1" ht="13.5" customHeight="1"/>
    <row r="474" customFormat="1" ht="13.5" customHeight="1"/>
    <row r="475" customFormat="1" ht="13.5" customHeight="1"/>
    <row r="476" customFormat="1" ht="13.5" customHeight="1"/>
    <row r="477" customFormat="1" ht="13.5" customHeight="1"/>
    <row r="478" customFormat="1" ht="13.5" customHeight="1"/>
    <row r="479" customFormat="1" ht="13.5" customHeight="1"/>
    <row r="480" customFormat="1" ht="13.5" customHeight="1"/>
    <row r="481" customFormat="1" ht="13.5" customHeight="1"/>
    <row r="482" customFormat="1" ht="13.5" customHeight="1"/>
    <row r="483" customFormat="1" ht="13.5" customHeight="1"/>
    <row r="484" customFormat="1" ht="13.5" customHeight="1"/>
    <row r="485" customFormat="1" ht="13.5" customHeight="1"/>
    <row r="486" customFormat="1" ht="13.5" customHeight="1"/>
    <row r="487" customFormat="1" ht="13.5" customHeight="1"/>
    <row r="488" customFormat="1" ht="13.5" customHeight="1"/>
    <row r="489" customFormat="1" ht="13.5" customHeight="1"/>
    <row r="490" customFormat="1" ht="13.5" customHeight="1"/>
    <row r="491" customFormat="1" ht="13.5" customHeight="1"/>
    <row r="492" customFormat="1" ht="13.5" customHeight="1"/>
    <row r="493" customFormat="1" ht="13.5" customHeight="1"/>
    <row r="494" customFormat="1" ht="13.5" customHeight="1"/>
    <row r="495" customFormat="1" ht="13.5" customHeight="1"/>
    <row r="496" customFormat="1" ht="13.5" customHeight="1"/>
    <row r="497" customFormat="1" ht="13.5" customHeight="1"/>
    <row r="498" customFormat="1" ht="13.5" customHeight="1"/>
    <row r="499" customFormat="1" ht="13.5" customHeight="1"/>
    <row r="500" customFormat="1" ht="13.5" customHeight="1"/>
    <row r="501" customFormat="1" ht="13.5" customHeight="1"/>
    <row r="502" customFormat="1" ht="13.5" customHeight="1"/>
    <row r="503" customFormat="1" ht="13.5" customHeight="1"/>
    <row r="504" customFormat="1" ht="13.5" customHeight="1"/>
    <row r="505" customFormat="1" ht="13.5" customHeight="1"/>
    <row r="506" customFormat="1" ht="13.5" customHeight="1"/>
    <row r="507" customFormat="1" ht="13.5" customHeight="1"/>
    <row r="508" customFormat="1" ht="13.5" customHeight="1"/>
    <row r="509" customFormat="1" ht="13.5" customHeight="1"/>
    <row r="510" customFormat="1" ht="13.5" customHeight="1"/>
    <row r="511" customFormat="1" ht="13.5" customHeight="1"/>
    <row r="512" customFormat="1" ht="13.5" customHeight="1"/>
    <row r="513" customFormat="1" ht="13.5" customHeight="1"/>
    <row r="514" customFormat="1" ht="13.5" customHeight="1"/>
    <row r="515" customFormat="1" ht="13.5" customHeight="1"/>
    <row r="516" customFormat="1" ht="13.5" customHeight="1"/>
    <row r="517" customFormat="1" ht="13.5" customHeight="1"/>
    <row r="518" customFormat="1" ht="13.5" customHeight="1"/>
    <row r="519" customFormat="1" ht="13.5" customHeight="1"/>
    <row r="520" customFormat="1" ht="13.5" customHeight="1"/>
    <row r="521" customFormat="1" ht="13.5" customHeight="1"/>
    <row r="522" customFormat="1" ht="13.5" customHeight="1"/>
    <row r="523" customFormat="1" ht="13.5" customHeight="1"/>
    <row r="524" customFormat="1" ht="13.5" customHeight="1"/>
    <row r="525" customFormat="1" ht="13.5" customHeight="1"/>
    <row r="526" customFormat="1" ht="13.5" customHeight="1"/>
    <row r="527" customFormat="1" ht="13.5" customHeight="1"/>
    <row r="528" customFormat="1" ht="13.5" customHeight="1"/>
    <row r="529" customFormat="1" ht="13.5" customHeight="1"/>
    <row r="530" customFormat="1" ht="13.5" customHeight="1"/>
    <row r="531" customFormat="1" ht="13.5" customHeight="1"/>
    <row r="532" customFormat="1" ht="13.5" customHeight="1"/>
    <row r="533" customFormat="1" ht="13.5" customHeight="1"/>
    <row r="534" customFormat="1" ht="13.5" customHeight="1"/>
    <row r="535" customFormat="1" ht="13.5" customHeight="1"/>
    <row r="536" customFormat="1" ht="13.5" customHeight="1"/>
    <row r="537" customFormat="1" ht="13.5" customHeight="1"/>
    <row r="538" customFormat="1" ht="13.5" customHeight="1"/>
    <row r="539" customFormat="1" ht="13.5" customHeight="1"/>
    <row r="540" customFormat="1" ht="13.5" customHeight="1"/>
    <row r="541" customFormat="1" ht="13.5" customHeight="1"/>
    <row r="542" customFormat="1" ht="13.5" customHeight="1"/>
    <row r="543" customFormat="1" ht="13.5" customHeight="1"/>
    <row r="544" customFormat="1" ht="13.5" customHeight="1"/>
    <row r="545" customFormat="1" ht="13.5" customHeight="1"/>
    <row r="546" customFormat="1" ht="13.5" customHeight="1"/>
    <row r="547" customFormat="1" ht="13.5" customHeight="1"/>
    <row r="548" customFormat="1" ht="13.5" customHeight="1"/>
    <row r="549" customFormat="1" ht="13.5" customHeight="1"/>
    <row r="550" customFormat="1" ht="13.5" customHeight="1"/>
    <row r="551" customFormat="1" ht="13.5" customHeight="1"/>
    <row r="552" customFormat="1" ht="13.5" customHeight="1"/>
    <row r="553" customFormat="1" ht="13.5" customHeight="1"/>
    <row r="554" customFormat="1" ht="13.5" customHeight="1"/>
    <row r="555" customFormat="1" ht="13.5" customHeight="1"/>
    <row r="556" customFormat="1" ht="13.5" customHeight="1"/>
    <row r="557" customFormat="1" ht="13.5" customHeight="1"/>
    <row r="558" customFormat="1" ht="13.5" customHeight="1"/>
    <row r="559" customFormat="1" ht="13.5" customHeight="1"/>
    <row r="560" customFormat="1" ht="13.5" customHeight="1"/>
    <row r="561" customFormat="1" ht="13.5" customHeight="1"/>
    <row r="562" customFormat="1" ht="13.5" customHeight="1"/>
    <row r="563" customFormat="1" ht="13.5" customHeight="1"/>
    <row r="564" customFormat="1" ht="13.5" customHeight="1"/>
    <row r="565" customFormat="1" ht="13.5" customHeight="1"/>
    <row r="566" customFormat="1" ht="13.5" customHeight="1"/>
    <row r="567" customFormat="1" ht="13.5" customHeight="1"/>
    <row r="568" customFormat="1" ht="13.5" customHeight="1"/>
    <row r="569" customFormat="1" ht="13.5" customHeight="1"/>
    <row r="570" customFormat="1" ht="13.5" customHeight="1"/>
    <row r="571" customFormat="1" ht="13.5" customHeight="1"/>
    <row r="572" customFormat="1" ht="13.5" customHeight="1"/>
    <row r="573" customFormat="1" ht="13.5" customHeight="1"/>
    <row r="574" customFormat="1" ht="13.5" customHeight="1"/>
    <row r="575" customFormat="1" ht="13.5" customHeight="1"/>
    <row r="576" customFormat="1" ht="13.5" customHeight="1"/>
    <row r="577" customFormat="1" ht="13.5" customHeight="1"/>
    <row r="578" customFormat="1" ht="13.5" customHeight="1"/>
    <row r="579" customFormat="1" ht="13.5" customHeight="1"/>
    <row r="580" customFormat="1" ht="13.5" customHeight="1"/>
    <row r="581" customFormat="1" ht="13.5" customHeight="1"/>
    <row r="582" customFormat="1" ht="13.5" customHeight="1"/>
    <row r="583" customFormat="1" ht="13.5" customHeight="1"/>
    <row r="584" customFormat="1" ht="13.5" customHeight="1"/>
    <row r="585" customFormat="1" ht="13.5" customHeight="1"/>
    <row r="586" customFormat="1" ht="13.5" customHeight="1"/>
    <row r="587" customFormat="1" ht="13.5" customHeight="1"/>
    <row r="588" customFormat="1" ht="13.5" customHeight="1"/>
    <row r="589" customFormat="1" ht="13.5" customHeight="1"/>
    <row r="590" customFormat="1" ht="13.5" customHeight="1"/>
    <row r="591" customFormat="1" ht="13.5" customHeight="1"/>
    <row r="592" customFormat="1" ht="13.5" customHeight="1"/>
    <row r="593" customFormat="1" ht="13.5" customHeight="1"/>
    <row r="594" customFormat="1" ht="13.5" customHeight="1"/>
    <row r="595" customFormat="1" ht="13.5" customHeight="1"/>
    <row r="596" customFormat="1" ht="13.5" customHeight="1"/>
    <row r="597" customFormat="1" ht="13.5" customHeight="1"/>
    <row r="598" customFormat="1" ht="13.5" customHeight="1"/>
    <row r="599" customFormat="1" ht="13.5" customHeight="1"/>
    <row r="600" customFormat="1" ht="13.5" customHeight="1"/>
    <row r="601" customFormat="1" ht="13.5" customHeight="1"/>
    <row r="602" customFormat="1" ht="13.5" customHeight="1"/>
    <row r="603" customFormat="1" ht="13.5" customHeight="1"/>
    <row r="604" customFormat="1" ht="13.5" customHeight="1"/>
    <row r="605" customFormat="1" ht="13.5" customHeight="1"/>
    <row r="606" customFormat="1" ht="13.5" customHeight="1"/>
    <row r="607" customFormat="1" ht="13.5" customHeight="1"/>
    <row r="608" customFormat="1" ht="13.5" customHeight="1"/>
    <row r="609" customFormat="1" ht="13.5" customHeight="1"/>
    <row r="610" customFormat="1" ht="13.5" customHeight="1"/>
    <row r="611" customFormat="1" ht="13.5" customHeight="1"/>
    <row r="612" customFormat="1" ht="13.5" customHeight="1"/>
    <row r="613" customFormat="1" ht="13.5" customHeight="1"/>
    <row r="614" customFormat="1" ht="13.5" customHeight="1"/>
    <row r="615" customFormat="1" ht="13.5" customHeight="1"/>
    <row r="616" customFormat="1" ht="13.5" customHeight="1"/>
    <row r="617" customFormat="1" ht="13.5" customHeight="1"/>
    <row r="618" customFormat="1" ht="13.5" customHeight="1"/>
    <row r="619" customFormat="1" ht="13.5" customHeight="1"/>
    <row r="620" customFormat="1" ht="13.5" customHeight="1"/>
    <row r="621" customFormat="1" ht="13.5" customHeight="1"/>
    <row r="622" customFormat="1" ht="13.5" customHeight="1"/>
    <row r="623" customFormat="1" ht="13.5" customHeight="1"/>
    <row r="624" customFormat="1" ht="13.5" customHeight="1"/>
    <row r="625" customFormat="1" ht="13.5" customHeight="1"/>
    <row r="626" customFormat="1" ht="13.5" customHeight="1"/>
    <row r="627" customFormat="1" ht="13.5" customHeight="1"/>
    <row r="628" customFormat="1" ht="13.5" customHeight="1"/>
    <row r="629" customFormat="1" ht="13.5" customHeight="1"/>
    <row r="630" customFormat="1" ht="13.5" customHeight="1"/>
    <row r="631" customFormat="1" ht="13.5" customHeight="1"/>
    <row r="632" customFormat="1" ht="13.5" customHeight="1"/>
    <row r="633" customFormat="1" ht="13.5" customHeight="1"/>
    <row r="634" customFormat="1" ht="13.5" customHeight="1"/>
    <row r="635" customFormat="1" ht="13.5" customHeight="1"/>
    <row r="636" customFormat="1" ht="13.5" customHeight="1"/>
    <row r="637" customFormat="1" ht="13.5" customHeight="1"/>
    <row r="638" customFormat="1" ht="13.5" customHeight="1"/>
    <row r="639" customFormat="1" ht="13.5" customHeight="1"/>
    <row r="640" customFormat="1" ht="13.5" customHeight="1"/>
    <row r="641" customFormat="1" ht="13.5" customHeight="1"/>
    <row r="642" customFormat="1" ht="13.5" customHeight="1"/>
    <row r="643" customFormat="1" ht="13.5" customHeight="1"/>
    <row r="644" customFormat="1" ht="13.5" customHeight="1"/>
    <row r="645" customFormat="1" ht="13.5" customHeight="1"/>
    <row r="646" customFormat="1" ht="13.5" customHeight="1"/>
    <row r="647" customFormat="1" ht="13.5" customHeight="1"/>
    <row r="648" customFormat="1" ht="13.5" customHeight="1"/>
    <row r="649" customFormat="1" ht="13.5" customHeight="1"/>
    <row r="650" customFormat="1" ht="13.5" customHeight="1"/>
    <row r="651" customFormat="1" ht="13.5" customHeight="1"/>
    <row r="652" customFormat="1" ht="13.5" customHeight="1"/>
    <row r="653" customFormat="1" ht="13.5" customHeight="1"/>
    <row r="654" customFormat="1" ht="13.5" customHeight="1"/>
    <row r="655" customFormat="1" ht="13.5" customHeight="1"/>
    <row r="656" customFormat="1" ht="13.5" customHeight="1"/>
    <row r="657" customFormat="1" ht="13.5" customHeight="1"/>
    <row r="658" customFormat="1" ht="13.5" customHeight="1"/>
    <row r="659" customFormat="1" ht="13.5" customHeight="1"/>
    <row r="660" customFormat="1" ht="13.5" customHeight="1"/>
    <row r="661" customFormat="1" ht="13.5" customHeight="1"/>
    <row r="662" customFormat="1" ht="13.5" customHeight="1"/>
    <row r="663" customFormat="1" ht="13.5" customHeight="1"/>
    <row r="664" customFormat="1" ht="13.5" customHeight="1"/>
    <row r="665" customFormat="1" ht="13.5" customHeight="1"/>
    <row r="666" customFormat="1" ht="13.5" customHeight="1"/>
    <row r="667" customFormat="1" ht="13.5" customHeight="1"/>
    <row r="668" customFormat="1" ht="13.5" customHeight="1"/>
    <row r="669" customFormat="1" ht="13.5" customHeight="1"/>
    <row r="670" customFormat="1" ht="13.5" customHeight="1"/>
    <row r="671" customFormat="1" ht="13.5" customHeight="1"/>
    <row r="672" customFormat="1" ht="13.5" customHeight="1"/>
    <row r="673" customFormat="1" ht="13.5" customHeight="1"/>
    <row r="674" customFormat="1" ht="13.5" customHeight="1"/>
    <row r="675" customFormat="1" ht="13.5" customHeight="1"/>
    <row r="676" customFormat="1" ht="13.5" customHeight="1"/>
    <row r="677" customFormat="1" ht="13.5" customHeight="1"/>
    <row r="678" customFormat="1" ht="13.5" customHeight="1"/>
    <row r="679" customFormat="1" ht="13.5" customHeight="1"/>
    <row r="680" customFormat="1" ht="13.5" customHeight="1"/>
    <row r="681" customFormat="1" ht="13.5" customHeight="1"/>
    <row r="682" customFormat="1" ht="13.5" customHeight="1"/>
    <row r="683" customFormat="1" ht="13.5" customHeight="1"/>
    <row r="684" customFormat="1" ht="13.5" customHeight="1"/>
    <row r="685" customFormat="1" ht="13.5" customHeight="1"/>
    <row r="686" customFormat="1" ht="13.5" customHeight="1"/>
    <row r="687" customFormat="1" ht="13.5" customHeight="1"/>
    <row r="688" customFormat="1" ht="13.5" customHeight="1"/>
    <row r="689" customFormat="1" ht="13.5" customHeight="1"/>
    <row r="690" customFormat="1" ht="13.5" customHeight="1"/>
    <row r="691" customFormat="1" ht="13.5" customHeight="1"/>
    <row r="692" customFormat="1" ht="13.5" customHeight="1"/>
    <row r="693" customFormat="1" ht="13.5" customHeight="1"/>
    <row r="694" customFormat="1" ht="13.5" customHeight="1"/>
    <row r="695" customFormat="1" ht="13.5" customHeight="1"/>
    <row r="696" customFormat="1" ht="13.5" customHeight="1"/>
    <row r="697" customFormat="1" ht="13.5" customHeight="1"/>
    <row r="698" customFormat="1" ht="13.5" customHeight="1"/>
    <row r="699" customFormat="1" ht="13.5" customHeight="1"/>
    <row r="700" customFormat="1" ht="13.5" customHeight="1"/>
    <row r="701" customFormat="1" ht="13.5" customHeight="1"/>
    <row r="702" customFormat="1" ht="13.5" customHeight="1"/>
    <row r="703" customFormat="1" ht="13.5" customHeight="1"/>
    <row r="704" customFormat="1" ht="13.5" customHeight="1"/>
    <row r="705" customFormat="1" ht="13.5" customHeight="1"/>
    <row r="706" customFormat="1" ht="13.5" customHeight="1"/>
    <row r="707" customFormat="1" ht="13.5" customHeight="1"/>
    <row r="708" customFormat="1" ht="13.5" customHeight="1"/>
    <row r="709" customFormat="1" ht="13.5" customHeight="1"/>
    <row r="710" customFormat="1" ht="13.5" customHeight="1"/>
    <row r="711" customFormat="1" ht="13.5" customHeight="1"/>
    <row r="712" customFormat="1" ht="13.5" customHeight="1"/>
    <row r="713" customFormat="1" ht="13.5" customHeight="1"/>
    <row r="714" customFormat="1" ht="13.5" customHeight="1"/>
    <row r="715" customFormat="1" ht="13.5" customHeight="1"/>
    <row r="716" customFormat="1" ht="13.5" customHeight="1"/>
    <row r="717" customFormat="1" ht="13.5" customHeight="1"/>
    <row r="718" customFormat="1" ht="13.5" customHeight="1"/>
    <row r="719" customFormat="1" ht="13.5" customHeight="1"/>
    <row r="720" customFormat="1" ht="13.5" customHeight="1"/>
    <row r="721" customFormat="1" ht="13.5" customHeight="1"/>
    <row r="722" customFormat="1" ht="13.5" customHeight="1"/>
    <row r="723" customFormat="1" ht="13.5" customHeight="1"/>
    <row r="724" customFormat="1" ht="13.5" customHeight="1"/>
    <row r="725" customFormat="1" ht="13.5" customHeight="1"/>
    <row r="726" customFormat="1" ht="13.5" customHeight="1"/>
    <row r="727" customFormat="1" ht="13.5" customHeight="1"/>
    <row r="728" customFormat="1" ht="13.5" customHeight="1"/>
    <row r="729" customFormat="1" ht="13.5" customHeight="1"/>
    <row r="730" customFormat="1" ht="13.5" customHeight="1"/>
    <row r="731" customFormat="1" ht="13.5" customHeight="1"/>
    <row r="732" customFormat="1" ht="13.5" customHeight="1"/>
    <row r="733" customFormat="1" ht="13.5" customHeight="1"/>
    <row r="734" customFormat="1" ht="13.5" customHeight="1"/>
    <row r="735" customFormat="1" ht="13.5" customHeight="1"/>
    <row r="736" customFormat="1" ht="13.5" customHeight="1"/>
    <row r="737" customFormat="1" ht="13.5" customHeight="1"/>
    <row r="738" customFormat="1" ht="13.5" customHeight="1"/>
    <row r="739" customFormat="1" ht="13.5" customHeight="1"/>
    <row r="740" customFormat="1" ht="13.5" customHeight="1"/>
    <row r="741" customFormat="1" ht="13.5" customHeight="1"/>
    <row r="742" customFormat="1" ht="13.5" customHeight="1"/>
    <row r="743" customFormat="1" ht="13.5" customHeight="1"/>
    <row r="744" customFormat="1" ht="13.5" customHeight="1"/>
    <row r="745" customFormat="1" ht="13.5" customHeight="1"/>
    <row r="746" customFormat="1" ht="13.5" customHeight="1"/>
    <row r="747" customFormat="1" ht="13.5" customHeight="1"/>
    <row r="748" customFormat="1" ht="13.5" customHeight="1"/>
    <row r="749" customFormat="1" ht="13.5" customHeight="1"/>
    <row r="750" customFormat="1" ht="13.5" customHeight="1"/>
    <row r="751" customFormat="1" ht="13.5" customHeight="1"/>
    <row r="752" customFormat="1" ht="13.5" customHeight="1"/>
    <row r="753" customFormat="1" ht="13.5" customHeight="1"/>
    <row r="754" customFormat="1" ht="13.5" customHeight="1"/>
    <row r="755" customFormat="1" ht="13.5" customHeight="1"/>
    <row r="756" customFormat="1" ht="13.5" customHeight="1"/>
    <row r="757" customFormat="1" ht="13.5" customHeight="1"/>
    <row r="758" customFormat="1" ht="13.5" customHeight="1"/>
    <row r="759" customFormat="1" ht="13.5" customHeight="1"/>
    <row r="760" customFormat="1" ht="13.5" customHeight="1"/>
    <row r="761" customFormat="1" ht="13.5" customHeight="1"/>
    <row r="762" customFormat="1" ht="13.5" customHeight="1"/>
    <row r="763" customFormat="1" ht="13.5" customHeight="1"/>
    <row r="764" customFormat="1" ht="13.5" customHeight="1"/>
    <row r="765" customFormat="1" ht="13.5" customHeight="1"/>
    <row r="766" customFormat="1" ht="13.5" customHeight="1"/>
    <row r="767" customFormat="1" ht="13.5" customHeight="1"/>
    <row r="768" customFormat="1" ht="13.5" customHeight="1"/>
    <row r="769" customFormat="1" ht="13.5" customHeight="1"/>
    <row r="770" customFormat="1" ht="13.5" customHeight="1"/>
    <row r="771" customFormat="1" ht="13.5" customHeight="1"/>
    <row r="772" customFormat="1" ht="13.5" customHeight="1"/>
    <row r="773" customFormat="1" ht="13.5" customHeight="1"/>
    <row r="774" customFormat="1" ht="13.5" customHeight="1"/>
    <row r="775" customFormat="1" ht="13.5" customHeight="1"/>
    <row r="776" customFormat="1" ht="13.5" customHeight="1"/>
    <row r="777" customFormat="1" ht="13.5" customHeight="1"/>
    <row r="778" customFormat="1" ht="13.5" customHeight="1"/>
    <row r="779" customFormat="1" ht="13.5" customHeight="1"/>
    <row r="780" customFormat="1" ht="13.5" customHeight="1"/>
    <row r="781" customFormat="1" ht="13.5" customHeight="1"/>
    <row r="782" customFormat="1" ht="13.5" customHeight="1"/>
    <row r="783" customFormat="1" ht="13.5" customHeight="1"/>
    <row r="784" customFormat="1" ht="13.5" customHeight="1"/>
    <row r="785" customFormat="1" ht="13.5" customHeight="1"/>
    <row r="786" customFormat="1" ht="13.5" customHeight="1"/>
    <row r="787" customFormat="1" ht="13.5" customHeight="1"/>
    <row r="788" customFormat="1" ht="13.5" customHeight="1"/>
    <row r="789" customFormat="1" ht="13.5" customHeight="1"/>
    <row r="790" customFormat="1" ht="13.5" customHeight="1"/>
    <row r="791" customFormat="1" ht="13.5" customHeight="1"/>
    <row r="792" customFormat="1" ht="13.5" customHeight="1"/>
    <row r="793" customFormat="1" ht="13.5" customHeight="1"/>
    <row r="794" customFormat="1" ht="13.5" customHeight="1"/>
    <row r="795" customFormat="1" ht="13.5" customHeight="1"/>
    <row r="796" customFormat="1" ht="13.5" customHeight="1"/>
    <row r="797" customFormat="1" ht="13.5" customHeight="1"/>
    <row r="798" customFormat="1" ht="13.5" customHeight="1"/>
    <row r="799" customFormat="1" ht="13.5" customHeight="1"/>
    <row r="800" customFormat="1" ht="13.5" customHeight="1"/>
    <row r="801" customFormat="1" ht="13.5" customHeight="1"/>
    <row r="802" customFormat="1" ht="13.5" customHeight="1"/>
    <row r="803" customFormat="1" ht="13.5" customHeight="1"/>
    <row r="804" customFormat="1" ht="13.5" customHeight="1"/>
    <row r="805" customFormat="1" ht="13.5" customHeight="1"/>
    <row r="806" customFormat="1" ht="13.5" customHeight="1"/>
    <row r="807" customFormat="1" ht="13.5" customHeight="1"/>
    <row r="808" customFormat="1" ht="13.5" customHeight="1"/>
    <row r="809" customFormat="1" ht="13.5" customHeight="1"/>
    <row r="810" customFormat="1" ht="13.5" customHeight="1"/>
    <row r="811" customFormat="1" ht="13.5" customHeight="1"/>
    <row r="812" customFormat="1" ht="13.5" customHeight="1"/>
    <row r="813" customFormat="1" ht="13.5" customHeight="1"/>
    <row r="814" customFormat="1" ht="13.5" customHeight="1"/>
    <row r="815" customFormat="1" ht="13.5" customHeight="1"/>
    <row r="816" customFormat="1" ht="13.5" customHeight="1"/>
    <row r="817" customFormat="1" ht="13.5" customHeight="1"/>
    <row r="818" customFormat="1" ht="13.5" customHeight="1"/>
    <row r="819" customFormat="1" ht="13.5" customHeight="1"/>
    <row r="820" customFormat="1" ht="13.5" customHeight="1"/>
    <row r="821" customFormat="1" ht="13.5" customHeight="1"/>
    <row r="822" customFormat="1" ht="13.5" customHeight="1"/>
    <row r="823" customFormat="1" ht="13.5" customHeight="1"/>
    <row r="824" customFormat="1" ht="13.5" customHeight="1"/>
    <row r="825" customFormat="1" ht="13.5" customHeight="1"/>
    <row r="826" customFormat="1" ht="13.5" customHeight="1"/>
    <row r="827" customFormat="1" ht="13.5" customHeight="1"/>
    <row r="828" customFormat="1" ht="13.5" customHeight="1"/>
    <row r="829" customFormat="1" ht="13.5" customHeight="1"/>
    <row r="830" customFormat="1" ht="13.5" customHeight="1"/>
    <row r="831" customFormat="1" ht="13.5" customHeight="1"/>
    <row r="832" customFormat="1" ht="13.5" customHeight="1"/>
    <row r="833" customFormat="1" ht="13.5" customHeight="1"/>
    <row r="834" customFormat="1" ht="13.5" customHeight="1"/>
    <row r="835" customFormat="1" ht="13.5" customHeight="1"/>
    <row r="836" customFormat="1" ht="13.5" customHeight="1"/>
    <row r="837" customFormat="1" ht="13.5" customHeight="1"/>
    <row r="838" customFormat="1" ht="13.5" customHeight="1"/>
    <row r="839" customFormat="1" ht="13.5" customHeight="1"/>
    <row r="840" customFormat="1" ht="13.5" customHeight="1"/>
    <row r="841" customFormat="1" ht="13.5" customHeight="1"/>
    <row r="842" customFormat="1" ht="13.5" customHeight="1"/>
    <row r="843" customFormat="1" ht="13.5" customHeight="1"/>
    <row r="844" customFormat="1" ht="13.5" customHeight="1"/>
    <row r="845" customFormat="1" ht="13.5" customHeight="1"/>
    <row r="846" customFormat="1" ht="13.5" customHeight="1"/>
    <row r="847" customFormat="1" ht="13.5" customHeight="1"/>
    <row r="848" customFormat="1" ht="13.5" customHeight="1"/>
    <row r="849" customFormat="1" ht="13.5" customHeight="1"/>
    <row r="850" customFormat="1" ht="13.5" customHeight="1"/>
    <row r="851" customFormat="1" ht="13.5" customHeight="1"/>
    <row r="852" customFormat="1" ht="13.5" customHeight="1"/>
    <row r="853" customFormat="1" ht="13.5" customHeight="1"/>
    <row r="854" customFormat="1" ht="13.5" customHeight="1"/>
    <row r="855" customFormat="1" ht="13.5" customHeight="1"/>
    <row r="856" customFormat="1" ht="13.5" customHeight="1"/>
    <row r="857" customFormat="1" ht="13.5" customHeight="1"/>
    <row r="858" customFormat="1" ht="13.5" customHeight="1"/>
    <row r="859" customFormat="1" ht="13.5" customHeight="1"/>
    <row r="860" customFormat="1" ht="13.5" customHeight="1"/>
    <row r="861" customFormat="1" ht="13.5" customHeight="1"/>
    <row r="862" customFormat="1" ht="13.5" customHeight="1"/>
    <row r="863" customFormat="1" ht="13.5" customHeight="1"/>
    <row r="864" customFormat="1" ht="13.5" customHeight="1"/>
    <row r="865" customFormat="1" ht="13.5" customHeight="1"/>
    <row r="866" customFormat="1" ht="13.5" customHeight="1"/>
    <row r="867" customFormat="1" ht="13.5" customHeight="1"/>
    <row r="868" customFormat="1" ht="13.5" customHeight="1"/>
    <row r="869" customFormat="1" ht="13.5" customHeight="1"/>
    <row r="870" customFormat="1" ht="13.5" customHeight="1"/>
    <row r="871" customFormat="1" ht="13.5" customHeight="1"/>
    <row r="872" customFormat="1" ht="13.5" customHeight="1"/>
    <row r="873" customFormat="1" ht="13.5" customHeight="1"/>
    <row r="874" customFormat="1" ht="13.5" customHeight="1"/>
    <row r="875" customFormat="1" ht="13.5" customHeight="1"/>
    <row r="876" customFormat="1" ht="13.5" customHeight="1"/>
    <row r="877" customFormat="1" ht="13.5" customHeight="1"/>
    <row r="878" customFormat="1" ht="13.5" customHeight="1"/>
    <row r="879" customFormat="1" ht="13.5" customHeight="1"/>
    <row r="880" customFormat="1" ht="13.5" customHeight="1"/>
    <row r="881" customFormat="1" ht="13.5" customHeight="1"/>
    <row r="882" customFormat="1" ht="13.5" customHeight="1"/>
    <row r="883" customFormat="1" ht="13.5" customHeight="1"/>
    <row r="884" customFormat="1" ht="13.5" customHeight="1"/>
    <row r="885" customFormat="1" ht="13.5" customHeight="1"/>
    <row r="886" customFormat="1" ht="13.5" customHeight="1"/>
    <row r="887" customFormat="1" ht="13.5" customHeight="1"/>
    <row r="888" customFormat="1" ht="13.5" customHeight="1"/>
    <row r="889" customFormat="1" ht="13.5" customHeight="1"/>
    <row r="890" customFormat="1" ht="13.5" customHeight="1"/>
    <row r="891" customFormat="1" ht="13.5" customHeight="1"/>
    <row r="892" customFormat="1" ht="13.5" customHeight="1"/>
    <row r="893" customFormat="1" ht="13.5" customHeight="1"/>
    <row r="894" customFormat="1" ht="13.5" customHeight="1"/>
    <row r="895" customFormat="1" ht="13.5" customHeight="1"/>
    <row r="896" customFormat="1" ht="13.5" customHeight="1"/>
    <row r="897" customFormat="1" ht="13.5" customHeight="1"/>
    <row r="898" customFormat="1" ht="13.5" customHeight="1"/>
    <row r="899" customFormat="1" ht="13.5" customHeight="1"/>
    <row r="900" customFormat="1" ht="13.5" customHeight="1"/>
    <row r="901" customFormat="1" ht="13.5" customHeight="1"/>
    <row r="902" customFormat="1" ht="13.5" customHeight="1"/>
    <row r="903" customFormat="1" ht="13.5" customHeight="1"/>
    <row r="904" customFormat="1" ht="13.5" customHeight="1"/>
    <row r="905" customFormat="1" ht="13.5" customHeight="1"/>
    <row r="906" customFormat="1" ht="13.5" customHeight="1"/>
    <row r="907" customFormat="1" ht="13.5" customHeight="1"/>
    <row r="908" customFormat="1" ht="13.5" customHeight="1"/>
    <row r="909" customFormat="1" ht="13.5" customHeight="1"/>
    <row r="910" customFormat="1" ht="13.5" customHeight="1"/>
    <row r="911" customFormat="1" ht="13.5" customHeight="1"/>
    <row r="912" customFormat="1" ht="13.5" customHeight="1"/>
    <row r="913" customFormat="1" ht="13.5" customHeight="1"/>
    <row r="914" customFormat="1" ht="13.5" customHeight="1"/>
    <row r="915" customFormat="1" ht="13.5" customHeight="1"/>
    <row r="916" customFormat="1" ht="13.5" customHeight="1"/>
    <row r="917" customFormat="1" ht="13.5" customHeight="1"/>
    <row r="918" customFormat="1" ht="13.5" customHeight="1"/>
    <row r="919" customFormat="1" ht="13.5" customHeight="1"/>
    <row r="920" customFormat="1" ht="13.5" customHeight="1"/>
    <row r="921" customFormat="1" ht="13.5" customHeight="1"/>
    <row r="922" customFormat="1" ht="13.5" customHeight="1"/>
    <row r="923" customFormat="1" ht="13.5" customHeight="1"/>
    <row r="924" customFormat="1" ht="13.5" customHeight="1"/>
    <row r="925" customFormat="1" ht="13.5" customHeight="1"/>
    <row r="926" customFormat="1" ht="13.5" customHeight="1"/>
    <row r="927" customFormat="1" ht="13.5" customHeight="1"/>
    <row r="928" customFormat="1" ht="13.5" customHeight="1"/>
    <row r="929" customFormat="1" ht="13.5" customHeight="1"/>
    <row r="930" customFormat="1" ht="13.5" customHeight="1"/>
    <row r="931" customFormat="1" ht="13.5" customHeight="1"/>
    <row r="932" customFormat="1" ht="13.5" customHeight="1"/>
    <row r="933" customFormat="1" ht="13.5" customHeight="1"/>
    <row r="934" customFormat="1" ht="13.5" customHeight="1"/>
    <row r="935" customFormat="1" ht="13.5" customHeight="1"/>
    <row r="936" customFormat="1" ht="13.5" customHeight="1"/>
    <row r="937" customFormat="1" ht="13.5" customHeight="1"/>
    <row r="938" customFormat="1" ht="13.5" customHeight="1"/>
    <row r="939" customFormat="1" ht="13.5" customHeight="1"/>
    <row r="940" customFormat="1" ht="13.5" customHeight="1"/>
    <row r="941" customFormat="1" ht="13.5" customHeight="1"/>
    <row r="942" customFormat="1" ht="13.5" customHeight="1"/>
    <row r="943" customFormat="1" ht="13.5" customHeight="1"/>
    <row r="944" customFormat="1" ht="13.5" customHeight="1"/>
    <row r="945" customFormat="1" ht="13.5" customHeight="1"/>
    <row r="946" customFormat="1" ht="13.5" customHeight="1"/>
    <row r="947" customFormat="1" ht="13.5" customHeight="1"/>
    <row r="948" customFormat="1" ht="13.5" customHeight="1"/>
    <row r="949" customFormat="1" ht="13.5" customHeight="1"/>
    <row r="950" customFormat="1" ht="13.5" customHeight="1"/>
    <row r="951" customFormat="1" ht="13.5" customHeight="1"/>
    <row r="952" customFormat="1" ht="13.5" customHeight="1"/>
    <row r="953" customFormat="1" ht="13.5" customHeight="1"/>
    <row r="954" customFormat="1" ht="13.5" customHeight="1"/>
    <row r="955" customFormat="1" ht="13.5" customHeight="1"/>
    <row r="956" customFormat="1" ht="13.5" customHeight="1"/>
    <row r="957" customFormat="1" ht="13.5" customHeight="1"/>
    <row r="958" customFormat="1" ht="13.5" customHeight="1"/>
    <row r="959" customFormat="1" ht="13.5" customHeight="1"/>
    <row r="960" customFormat="1" ht="13.5" customHeight="1"/>
    <row r="961" customFormat="1" ht="13.5" customHeight="1"/>
    <row r="962" customFormat="1" ht="13.5" customHeight="1"/>
    <row r="963" customFormat="1" ht="13.5" customHeight="1"/>
    <row r="964" customFormat="1" ht="13.5" customHeight="1"/>
    <row r="965" customFormat="1" ht="13.5" customHeight="1"/>
    <row r="966" customFormat="1" ht="13.5" customHeight="1"/>
    <row r="967" customFormat="1" ht="13.5" customHeight="1"/>
    <row r="968" customFormat="1" ht="13.5" customHeight="1"/>
    <row r="969" customFormat="1" ht="13.5" customHeight="1"/>
    <row r="970" customFormat="1" ht="13.5" customHeight="1"/>
    <row r="971" customFormat="1" ht="13.5" customHeight="1"/>
    <row r="972" customFormat="1" ht="13.5" customHeight="1"/>
    <row r="973" customFormat="1" ht="13.5" customHeight="1"/>
    <row r="974" customFormat="1" ht="13.5" customHeight="1"/>
    <row r="975" customFormat="1" ht="13.5" customHeight="1"/>
    <row r="976" customFormat="1" ht="13.5" customHeight="1"/>
    <row r="977" customFormat="1" ht="13.5" customHeight="1"/>
    <row r="978" customFormat="1" ht="13.5" customHeight="1"/>
    <row r="979" customFormat="1" ht="13.5" customHeight="1"/>
    <row r="980" customFormat="1" ht="13.5" customHeight="1"/>
    <row r="981" customFormat="1" ht="13.5" customHeight="1"/>
    <row r="982" customFormat="1" ht="13.5" customHeight="1"/>
    <row r="983" customFormat="1" ht="13.5" customHeight="1"/>
    <row r="984" customFormat="1" ht="13.5" customHeight="1"/>
    <row r="985" customFormat="1" ht="13.5" customHeight="1"/>
    <row r="986" customFormat="1" ht="13.5" customHeight="1"/>
    <row r="987" customFormat="1" ht="13.5" customHeight="1"/>
    <row r="988" customFormat="1" ht="13.5" customHeight="1"/>
    <row r="989" customFormat="1" ht="13.5" customHeight="1"/>
    <row r="990" customFormat="1" ht="13.5" customHeight="1"/>
    <row r="991" customFormat="1" ht="13.5" customHeight="1"/>
    <row r="992" customFormat="1" ht="13.5" customHeight="1"/>
    <row r="993" customFormat="1" ht="13.5" customHeight="1"/>
    <row r="994" customFormat="1" ht="13.5" customHeight="1"/>
    <row r="995" customFormat="1" ht="13.5" customHeight="1"/>
    <row r="996" customFormat="1" ht="13.5" customHeight="1"/>
    <row r="997" customFormat="1" ht="13.5" customHeight="1"/>
    <row r="998" customFormat="1" ht="13.5" customHeight="1"/>
    <row r="999" customFormat="1" ht="13.5" customHeight="1"/>
    <row r="1000" customFormat="1" ht="13.5" customHeight="1"/>
    <row r="1001" customFormat="1" ht="13.5" customHeight="1"/>
    <row r="1002" customFormat="1" ht="13.5" customHeight="1"/>
    <row r="1003" customFormat="1" ht="13.5" customHeight="1"/>
    <row r="1004" customFormat="1" ht="13.5" customHeight="1"/>
    <row r="1005" customFormat="1" ht="13.5" customHeight="1"/>
    <row r="1006" customFormat="1" ht="13.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Original database</vt:lpstr>
      <vt:lpstr>Final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Tatiane Pretto</dc:creator>
  <cp:lastModifiedBy>Tatiane Pretto</cp:lastModifiedBy>
  <dcterms:created xsi:type="dcterms:W3CDTF">2023-07-03T15:30:37Z</dcterms:created>
  <dcterms:modified xsi:type="dcterms:W3CDTF">2023-08-03T13:52:50Z</dcterms:modified>
</cp:coreProperties>
</file>